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uri/Desktop/Cours/VBA/"/>
    </mc:Choice>
  </mc:AlternateContent>
  <xr:revisionPtr revIDLastSave="0" documentId="13_ncr:1_{3AABBE5A-9AB9-1F44-A258-6530E717AFE8}" xr6:coauthVersionLast="45" xr6:coauthVersionMax="45" xr10:uidLastSave="{00000000-0000-0000-0000-000000000000}"/>
  <bookViews>
    <workbookView xWindow="920" yWindow="460" windowWidth="28800" windowHeight="17540" xr2:uid="{F63F5E6D-26AD-4779-B206-BE1642F01BDB}"/>
  </bookViews>
  <sheets>
    <sheet name="Projet" sheetId="1" r:id="rId1"/>
  </sheets>
  <definedNames>
    <definedName name="solver_adj" localSheetId="0" hidden="1">Projet!$K$6,Projet!$K$6,Projet!$K$5,Projet!$K$3,Projet!$K$7,Projet!$K$9,Projet!$K$10,Projet!$K$11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Projet!$N$4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1</definedName>
    <definedName name="solver_opt" localSheetId="0" hidden="1">Projet!$N$3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hs1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0" i="1" l="1"/>
  <c r="E100" i="1" s="1"/>
  <c r="D99" i="1"/>
  <c r="E99" i="1" s="1"/>
  <c r="D98" i="1"/>
  <c r="E98" i="1" s="1"/>
  <c r="D97" i="1"/>
  <c r="E97" i="1" s="1"/>
  <c r="D96" i="1"/>
  <c r="E96" i="1" s="1"/>
  <c r="D95" i="1"/>
  <c r="E95" i="1" s="1"/>
  <c r="D94" i="1"/>
  <c r="E94" i="1" s="1"/>
  <c r="D93" i="1"/>
  <c r="E93" i="1" s="1"/>
  <c r="D92" i="1"/>
  <c r="E92" i="1" s="1"/>
  <c r="D91" i="1"/>
  <c r="E91" i="1" s="1"/>
  <c r="D90" i="1"/>
  <c r="E90" i="1" s="1"/>
  <c r="D89" i="1"/>
  <c r="E89" i="1" s="1"/>
  <c r="D88" i="1"/>
  <c r="E88" i="1" s="1"/>
  <c r="D87" i="1"/>
  <c r="E87" i="1" s="1"/>
  <c r="D86" i="1"/>
  <c r="E86" i="1" s="1"/>
  <c r="D85" i="1"/>
  <c r="E85" i="1" s="1"/>
  <c r="D84" i="1"/>
  <c r="E84" i="1" s="1"/>
  <c r="D83" i="1"/>
  <c r="E83" i="1" s="1"/>
  <c r="D82" i="1"/>
  <c r="E82" i="1" s="1"/>
  <c r="D81" i="1"/>
  <c r="E81" i="1" s="1"/>
  <c r="D80" i="1"/>
  <c r="E80" i="1" s="1"/>
  <c r="D79" i="1"/>
  <c r="E79" i="1" s="1"/>
  <c r="D78" i="1"/>
  <c r="E78" i="1" s="1"/>
  <c r="D77" i="1"/>
  <c r="E77" i="1" s="1"/>
  <c r="D76" i="1"/>
  <c r="E76" i="1" s="1"/>
  <c r="D75" i="1"/>
  <c r="E75" i="1" s="1"/>
  <c r="D74" i="1"/>
  <c r="E74" i="1" s="1"/>
  <c r="D73" i="1"/>
  <c r="E73" i="1" s="1"/>
  <c r="D72" i="1"/>
  <c r="E72" i="1" s="1"/>
  <c r="D71" i="1"/>
  <c r="E71" i="1" s="1"/>
  <c r="D70" i="1"/>
  <c r="E70" i="1" s="1"/>
  <c r="D69" i="1"/>
  <c r="E69" i="1" s="1"/>
  <c r="D68" i="1"/>
  <c r="E68" i="1" s="1"/>
  <c r="D67" i="1"/>
  <c r="E67" i="1" s="1"/>
  <c r="D66" i="1"/>
  <c r="E66" i="1" s="1"/>
  <c r="D65" i="1"/>
  <c r="E65" i="1" s="1"/>
  <c r="D64" i="1"/>
  <c r="E64" i="1" s="1"/>
  <c r="D63" i="1"/>
  <c r="E63" i="1" s="1"/>
  <c r="D62" i="1"/>
  <c r="E62" i="1" s="1"/>
  <c r="D61" i="1"/>
  <c r="E61" i="1" s="1"/>
  <c r="D60" i="1"/>
  <c r="E60" i="1" s="1"/>
  <c r="D59" i="1"/>
  <c r="E59" i="1" s="1"/>
  <c r="D58" i="1"/>
  <c r="E58" i="1" s="1"/>
  <c r="D57" i="1"/>
  <c r="E57" i="1" s="1"/>
  <c r="D56" i="1"/>
  <c r="E56" i="1" s="1"/>
  <c r="D55" i="1"/>
  <c r="E55" i="1" s="1"/>
  <c r="D54" i="1"/>
  <c r="E54" i="1" s="1"/>
  <c r="D53" i="1"/>
  <c r="E53" i="1" s="1"/>
  <c r="D52" i="1"/>
  <c r="E52" i="1" s="1"/>
  <c r="D51" i="1"/>
  <c r="E51" i="1" s="1"/>
  <c r="D50" i="1"/>
  <c r="E50" i="1" s="1"/>
  <c r="D49" i="1"/>
  <c r="E49" i="1" s="1"/>
  <c r="D48" i="1"/>
  <c r="E48" i="1" s="1"/>
  <c r="D47" i="1"/>
  <c r="E47" i="1" s="1"/>
  <c r="D46" i="1"/>
  <c r="E46" i="1" s="1"/>
  <c r="D45" i="1"/>
  <c r="E45" i="1" s="1"/>
  <c r="D44" i="1"/>
  <c r="E44" i="1" s="1"/>
  <c r="D43" i="1"/>
  <c r="E43" i="1" s="1"/>
  <c r="D42" i="1"/>
  <c r="E42" i="1" s="1"/>
  <c r="D41" i="1"/>
  <c r="E41" i="1" s="1"/>
  <c r="D40" i="1"/>
  <c r="E40" i="1" s="1"/>
  <c r="D39" i="1"/>
  <c r="E39" i="1" s="1"/>
  <c r="D38" i="1"/>
  <c r="E38" i="1" s="1"/>
  <c r="D37" i="1"/>
  <c r="E37" i="1" s="1"/>
  <c r="D36" i="1"/>
  <c r="E36" i="1" s="1"/>
  <c r="D35" i="1"/>
  <c r="E35" i="1" s="1"/>
  <c r="D34" i="1"/>
  <c r="E34" i="1" s="1"/>
  <c r="D33" i="1"/>
  <c r="E33" i="1" s="1"/>
  <c r="D32" i="1"/>
  <c r="E32" i="1" s="1"/>
  <c r="D31" i="1"/>
  <c r="E31" i="1" s="1"/>
  <c r="D30" i="1"/>
  <c r="E30" i="1" s="1"/>
  <c r="D29" i="1"/>
  <c r="E29" i="1" s="1"/>
  <c r="D28" i="1"/>
  <c r="E28" i="1" s="1"/>
  <c r="D27" i="1"/>
  <c r="E27" i="1" s="1"/>
  <c r="D26" i="1"/>
  <c r="E26" i="1" s="1"/>
  <c r="D25" i="1"/>
  <c r="E25" i="1" s="1"/>
  <c r="D24" i="1"/>
  <c r="E24" i="1" s="1"/>
  <c r="D23" i="1"/>
  <c r="E23" i="1" s="1"/>
  <c r="D22" i="1"/>
  <c r="E22" i="1" s="1"/>
  <c r="D21" i="1"/>
  <c r="E21" i="1" s="1"/>
  <c r="D20" i="1"/>
  <c r="E20" i="1" s="1"/>
  <c r="D19" i="1"/>
  <c r="E19" i="1" s="1"/>
  <c r="D18" i="1"/>
  <c r="E18" i="1" s="1"/>
  <c r="D17" i="1"/>
  <c r="E17" i="1" s="1"/>
  <c r="D16" i="1"/>
  <c r="E16" i="1" s="1"/>
  <c r="D15" i="1"/>
  <c r="E15" i="1" s="1"/>
  <c r="D14" i="1"/>
  <c r="E14" i="1" s="1"/>
  <c r="D13" i="1"/>
  <c r="E13" i="1" s="1"/>
  <c r="D12" i="1"/>
  <c r="E12" i="1" s="1"/>
  <c r="D11" i="1"/>
  <c r="E11" i="1" s="1"/>
  <c r="D10" i="1"/>
  <c r="E10" i="1" s="1"/>
  <c r="D9" i="1"/>
  <c r="E9" i="1" s="1"/>
  <c r="D8" i="1"/>
  <c r="E8" i="1" s="1"/>
  <c r="D7" i="1"/>
  <c r="E7" i="1" s="1"/>
  <c r="D6" i="1"/>
  <c r="E6" i="1" s="1"/>
  <c r="G6" i="1" s="1"/>
  <c r="F6" i="1"/>
  <c r="F7" i="1" l="1"/>
  <c r="H6" i="1"/>
  <c r="G7" i="1" l="1"/>
  <c r="C87" i="1"/>
  <c r="H7" i="1" l="1"/>
  <c r="F8" i="1"/>
  <c r="G8" i="1" s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H8" i="1" l="1"/>
  <c r="F9" i="1"/>
  <c r="G9" i="1" s="1"/>
  <c r="C3" i="1"/>
  <c r="H9" i="1" l="1"/>
  <c r="F10" i="1"/>
  <c r="G10" i="1" s="1"/>
  <c r="F11" i="1" s="1"/>
  <c r="G11" i="1" s="1"/>
  <c r="H11" i="1" s="1"/>
  <c r="H10" i="1" l="1"/>
  <c r="F12" i="1"/>
  <c r="G12" i="1" s="1"/>
  <c r="H12" i="1" s="1"/>
  <c r="F13" i="1" l="1"/>
  <c r="G13" i="1" s="1"/>
  <c r="H13" i="1" s="1"/>
  <c r="F14" i="1" l="1"/>
  <c r="G14" i="1" s="1"/>
  <c r="H14" i="1" s="1"/>
  <c r="F15" i="1" l="1"/>
  <c r="G15" i="1" s="1"/>
  <c r="H15" i="1" s="1"/>
  <c r="F16" i="1" l="1"/>
  <c r="G16" i="1" s="1"/>
  <c r="H16" i="1" s="1"/>
  <c r="F17" i="1" l="1"/>
  <c r="G17" i="1" s="1"/>
  <c r="H17" i="1" s="1"/>
  <c r="F18" i="1" l="1"/>
  <c r="G18" i="1" s="1"/>
  <c r="H18" i="1" s="1"/>
  <c r="F19" i="1" l="1"/>
  <c r="G19" i="1" s="1"/>
  <c r="H19" i="1" s="1"/>
  <c r="F20" i="1" l="1"/>
  <c r="G20" i="1" s="1"/>
  <c r="H20" i="1" s="1"/>
  <c r="F21" i="1" l="1"/>
  <c r="G21" i="1" s="1"/>
  <c r="H21" i="1" s="1"/>
  <c r="F22" i="1" l="1"/>
  <c r="G22" i="1" s="1"/>
  <c r="H22" i="1" s="1"/>
  <c r="F23" i="1" l="1"/>
  <c r="G23" i="1" s="1"/>
  <c r="H23" i="1" s="1"/>
  <c r="F24" i="1" l="1"/>
  <c r="G24" i="1" s="1"/>
  <c r="H24" i="1" s="1"/>
  <c r="F25" i="1" l="1"/>
  <c r="G25" i="1" s="1"/>
  <c r="H25" i="1" s="1"/>
  <c r="F26" i="1" l="1"/>
  <c r="G26" i="1" s="1"/>
  <c r="H26" i="1" s="1"/>
  <c r="F27" i="1" l="1"/>
  <c r="G27" i="1" s="1"/>
  <c r="H27" i="1" s="1"/>
  <c r="F28" i="1" l="1"/>
  <c r="G28" i="1" s="1"/>
  <c r="H28" i="1" s="1"/>
  <c r="F29" i="1" l="1"/>
  <c r="G29" i="1" s="1"/>
  <c r="H29" i="1" s="1"/>
  <c r="F30" i="1" l="1"/>
  <c r="G30" i="1" s="1"/>
  <c r="H30" i="1" s="1"/>
  <c r="F31" i="1" l="1"/>
  <c r="G31" i="1" s="1"/>
  <c r="H31" i="1" s="1"/>
  <c r="F32" i="1" l="1"/>
  <c r="G32" i="1" s="1"/>
  <c r="H32" i="1" s="1"/>
  <c r="F33" i="1" l="1"/>
  <c r="G33" i="1" s="1"/>
  <c r="H33" i="1" s="1"/>
  <c r="F34" i="1" l="1"/>
  <c r="G34" i="1" s="1"/>
  <c r="H34" i="1" s="1"/>
  <c r="F35" i="1" l="1"/>
  <c r="G35" i="1" s="1"/>
  <c r="H35" i="1" s="1"/>
  <c r="F36" i="1" l="1"/>
  <c r="G36" i="1" s="1"/>
  <c r="H36" i="1" s="1"/>
  <c r="F37" i="1" l="1"/>
  <c r="G37" i="1" s="1"/>
  <c r="H37" i="1" s="1"/>
  <c r="F38" i="1" l="1"/>
  <c r="G38" i="1" s="1"/>
  <c r="H38" i="1" s="1"/>
  <c r="F39" i="1" l="1"/>
  <c r="G39" i="1" s="1"/>
  <c r="H39" i="1" s="1"/>
  <c r="F40" i="1" l="1"/>
  <c r="G40" i="1" s="1"/>
  <c r="H40" i="1" s="1"/>
  <c r="F41" i="1" l="1"/>
  <c r="G41" i="1" s="1"/>
  <c r="H41" i="1" s="1"/>
  <c r="F42" i="1" l="1"/>
  <c r="G42" i="1" s="1"/>
  <c r="H42" i="1" s="1"/>
  <c r="F43" i="1" l="1"/>
  <c r="G43" i="1" s="1"/>
  <c r="H43" i="1" s="1"/>
  <c r="F44" i="1" l="1"/>
  <c r="G44" i="1" s="1"/>
  <c r="H44" i="1" s="1"/>
  <c r="F45" i="1" l="1"/>
  <c r="G45" i="1" s="1"/>
  <c r="H45" i="1" s="1"/>
  <c r="F46" i="1" l="1"/>
  <c r="G46" i="1" s="1"/>
  <c r="H46" i="1" s="1"/>
  <c r="F47" i="1" l="1"/>
  <c r="G47" i="1" s="1"/>
  <c r="H47" i="1" s="1"/>
  <c r="F48" i="1" l="1"/>
  <c r="G48" i="1" s="1"/>
  <c r="H48" i="1" s="1"/>
  <c r="F49" i="1" l="1"/>
  <c r="G49" i="1" s="1"/>
  <c r="H49" i="1" s="1"/>
  <c r="F50" i="1" l="1"/>
  <c r="G50" i="1" s="1"/>
  <c r="H50" i="1" s="1"/>
  <c r="F51" i="1" l="1"/>
  <c r="G51" i="1" s="1"/>
  <c r="H51" i="1" s="1"/>
  <c r="F52" i="1" l="1"/>
  <c r="G52" i="1" s="1"/>
  <c r="H52" i="1" s="1"/>
  <c r="F53" i="1" l="1"/>
  <c r="G53" i="1" s="1"/>
  <c r="H53" i="1" s="1"/>
  <c r="F54" i="1" l="1"/>
  <c r="G54" i="1" s="1"/>
  <c r="H54" i="1" s="1"/>
  <c r="F55" i="1" l="1"/>
  <c r="G55" i="1" l="1"/>
  <c r="H55" i="1" s="1"/>
  <c r="F56" i="1" l="1"/>
  <c r="G56" i="1" s="1"/>
  <c r="H56" i="1" l="1"/>
  <c r="F57" i="1"/>
  <c r="G57" i="1" s="1"/>
  <c r="H57" i="1" l="1"/>
  <c r="F58" i="1"/>
  <c r="G58" i="1" s="1"/>
  <c r="H58" i="1" l="1"/>
  <c r="F59" i="1"/>
  <c r="G59" i="1" s="1"/>
  <c r="H59" i="1" l="1"/>
  <c r="F60" i="1"/>
  <c r="G60" i="1" s="1"/>
  <c r="H60" i="1" l="1"/>
  <c r="F61" i="1"/>
  <c r="G61" i="1" s="1"/>
  <c r="H61" i="1" s="1"/>
  <c r="F62" i="1" l="1"/>
  <c r="G62" i="1" s="1"/>
  <c r="H62" i="1" s="1"/>
  <c r="F63" i="1" l="1"/>
  <c r="G63" i="1" s="1"/>
  <c r="H63" i="1" l="1"/>
  <c r="F64" i="1"/>
  <c r="G64" i="1" l="1"/>
  <c r="H64" i="1" s="1"/>
  <c r="F65" i="1" l="1"/>
  <c r="G65" i="1" s="1"/>
  <c r="H65" i="1" l="1"/>
  <c r="F66" i="1"/>
  <c r="G66" i="1" s="1"/>
  <c r="H66" i="1" l="1"/>
  <c r="F67" i="1"/>
  <c r="G67" i="1" l="1"/>
  <c r="H67" i="1" s="1"/>
  <c r="F68" i="1" l="1"/>
  <c r="G68" i="1" s="1"/>
  <c r="H68" i="1" l="1"/>
  <c r="F69" i="1"/>
  <c r="G69" i="1" s="1"/>
  <c r="H69" i="1" l="1"/>
  <c r="F70" i="1"/>
  <c r="G70" i="1" s="1"/>
  <c r="H70" i="1" l="1"/>
  <c r="F71" i="1"/>
  <c r="G71" i="1" s="1"/>
  <c r="H71" i="1" l="1"/>
  <c r="F72" i="1"/>
  <c r="G72" i="1" s="1"/>
  <c r="H72" i="1" l="1"/>
  <c r="F73" i="1"/>
  <c r="G73" i="1" s="1"/>
  <c r="H73" i="1" l="1"/>
  <c r="F74" i="1"/>
  <c r="G74" i="1" s="1"/>
  <c r="H74" i="1" l="1"/>
  <c r="F75" i="1"/>
  <c r="G75" i="1" s="1"/>
  <c r="H75" i="1" l="1"/>
  <c r="F76" i="1"/>
  <c r="G76" i="1" s="1"/>
  <c r="H76" i="1" l="1"/>
  <c r="F77" i="1"/>
  <c r="G77" i="1" s="1"/>
  <c r="H77" i="1" l="1"/>
  <c r="F78" i="1"/>
  <c r="G78" i="1" s="1"/>
  <c r="H78" i="1" l="1"/>
  <c r="F79" i="1"/>
  <c r="G79" i="1" s="1"/>
  <c r="H79" i="1" l="1"/>
  <c r="F80" i="1"/>
  <c r="G80" i="1" s="1"/>
  <c r="H80" i="1" l="1"/>
  <c r="F81" i="1"/>
  <c r="G81" i="1" s="1"/>
  <c r="H81" i="1" l="1"/>
  <c r="F82" i="1"/>
  <c r="G82" i="1" s="1"/>
  <c r="H82" i="1" l="1"/>
  <c r="F83" i="1"/>
  <c r="G83" i="1" s="1"/>
  <c r="H83" i="1" l="1"/>
  <c r="F84" i="1"/>
  <c r="G84" i="1" s="1"/>
  <c r="H84" i="1" l="1"/>
  <c r="F85" i="1"/>
  <c r="G85" i="1" s="1"/>
  <c r="H85" i="1" l="1"/>
  <c r="F86" i="1"/>
  <c r="G86" i="1" s="1"/>
  <c r="H86" i="1" l="1"/>
  <c r="F87" i="1"/>
  <c r="G87" i="1" s="1"/>
  <c r="H87" i="1" l="1"/>
  <c r="F88" i="1"/>
  <c r="G88" i="1" s="1"/>
  <c r="H88" i="1" l="1"/>
  <c r="F89" i="1"/>
  <c r="G89" i="1" s="1"/>
  <c r="H89" i="1" l="1"/>
  <c r="F90" i="1"/>
  <c r="G90" i="1" s="1"/>
  <c r="H90" i="1" l="1"/>
  <c r="F91" i="1"/>
  <c r="G91" i="1" s="1"/>
  <c r="H91" i="1" l="1"/>
  <c r="F92" i="1"/>
  <c r="G92" i="1" s="1"/>
  <c r="H92" i="1" l="1"/>
  <c r="F93" i="1"/>
  <c r="G93" i="1" s="1"/>
  <c r="H93" i="1" l="1"/>
  <c r="F94" i="1"/>
  <c r="G94" i="1" s="1"/>
  <c r="H94" i="1" l="1"/>
  <c r="F95" i="1"/>
  <c r="G95" i="1" s="1"/>
  <c r="H95" i="1" l="1"/>
  <c r="F96" i="1"/>
  <c r="G96" i="1" s="1"/>
  <c r="H96" i="1" l="1"/>
  <c r="F97" i="1"/>
  <c r="G97" i="1" s="1"/>
  <c r="H97" i="1" l="1"/>
  <c r="F98" i="1"/>
  <c r="G98" i="1" s="1"/>
  <c r="H98" i="1" l="1"/>
  <c r="F99" i="1"/>
  <c r="G99" i="1" s="1"/>
  <c r="H99" i="1" l="1"/>
  <c r="F100" i="1"/>
  <c r="G100" i="1" s="1"/>
  <c r="H100" i="1" l="1"/>
  <c r="N3" i="1" s="1"/>
  <c r="N4" i="1"/>
  <c r="F101" i="1"/>
  <c r="G101" i="1" s="1"/>
  <c r="H101" i="1" l="1"/>
  <c r="F102" i="1"/>
  <c r="G102" i="1" s="1"/>
  <c r="H102" i="1" l="1"/>
  <c r="F103" i="1"/>
  <c r="G103" i="1" s="1"/>
  <c r="H103" i="1" l="1"/>
  <c r="F104" i="1"/>
  <c r="G104" i="1" s="1"/>
  <c r="H104" i="1" l="1"/>
  <c r="F105" i="1"/>
  <c r="G105" i="1" s="1"/>
  <c r="H105" i="1" l="1"/>
  <c r="F106" i="1"/>
  <c r="G106" i="1" s="1"/>
  <c r="H106" i="1" s="1"/>
  <c r="F107" i="1" l="1"/>
  <c r="G107" i="1" s="1"/>
  <c r="H107" i="1" s="1"/>
  <c r="F108" i="1" l="1"/>
  <c r="G108" i="1" s="1"/>
  <c r="F109" i="1" l="1"/>
  <c r="H108" i="1"/>
  <c r="G109" i="1" l="1"/>
  <c r="H109" i="1" s="1"/>
  <c r="F110" i="1" l="1"/>
  <c r="G110" i="1" s="1"/>
  <c r="H110" i="1" s="1"/>
  <c r="F111" i="1" l="1"/>
  <c r="G111" i="1" l="1"/>
  <c r="H111" i="1" s="1"/>
  <c r="F112" i="1" l="1"/>
  <c r="G112" i="1" l="1"/>
  <c r="H112" i="1" s="1"/>
  <c r="F113" i="1" l="1"/>
  <c r="G113" i="1" l="1"/>
  <c r="H113" i="1" s="1"/>
  <c r="F114" i="1" l="1"/>
  <c r="G114" i="1" l="1"/>
  <c r="H114" i="1" s="1"/>
  <c r="F115" i="1" l="1"/>
  <c r="G115" i="1" l="1"/>
  <c r="H115" i="1" s="1"/>
  <c r="F116" i="1" l="1"/>
  <c r="G116" i="1" l="1"/>
  <c r="H116" i="1" s="1"/>
  <c r="F117" i="1" l="1"/>
  <c r="G117" i="1" l="1"/>
  <c r="H117" i="1" s="1"/>
  <c r="F118" i="1" l="1"/>
  <c r="G118" i="1" l="1"/>
  <c r="H118" i="1" s="1"/>
  <c r="F119" i="1" l="1"/>
  <c r="G119" i="1" l="1"/>
  <c r="H119" i="1" s="1"/>
  <c r="F120" i="1" l="1"/>
  <c r="G120" i="1" s="1"/>
  <c r="H120" i="1" s="1"/>
  <c r="F121" i="1" l="1"/>
  <c r="G121" i="1" l="1"/>
  <c r="H121" i="1" s="1"/>
  <c r="F122" i="1" l="1"/>
  <c r="G122" i="1" l="1"/>
  <c r="H122" i="1" s="1"/>
  <c r="F123" i="1" l="1"/>
  <c r="G123" i="1" l="1"/>
  <c r="H123" i="1" s="1"/>
  <c r="F124" i="1" l="1"/>
  <c r="G124" i="1" l="1"/>
  <c r="H124" i="1" s="1"/>
  <c r="F125" i="1" l="1"/>
  <c r="G125" i="1" l="1"/>
  <c r="H125" i="1" s="1"/>
  <c r="F126" i="1" l="1"/>
  <c r="G126" i="1" l="1"/>
  <c r="H126" i="1" s="1"/>
  <c r="F127" i="1" l="1"/>
  <c r="G127" i="1" s="1"/>
  <c r="F128" i="1" l="1"/>
  <c r="H127" i="1"/>
  <c r="G128" i="1" l="1"/>
  <c r="H128" i="1" s="1"/>
  <c r="F129" i="1" l="1"/>
  <c r="G129" i="1" s="1"/>
  <c r="H129" i="1" s="1"/>
  <c r="F130" i="1" l="1"/>
  <c r="G130" i="1" l="1"/>
  <c r="H130" i="1" s="1"/>
  <c r="F131" i="1" l="1"/>
  <c r="G131" i="1" l="1"/>
  <c r="H131" i="1" s="1"/>
  <c r="F132" i="1" l="1"/>
  <c r="G132" i="1" l="1"/>
  <c r="H132" i="1" s="1"/>
  <c r="F133" i="1" l="1"/>
  <c r="G133" i="1" l="1"/>
  <c r="H133" i="1" s="1"/>
  <c r="F134" i="1" l="1"/>
  <c r="G134" i="1" l="1"/>
  <c r="H134" i="1" s="1"/>
  <c r="F135" i="1" l="1"/>
  <c r="G135" i="1" s="1"/>
  <c r="H135" i="1" s="1"/>
  <c r="F136" i="1" l="1"/>
  <c r="G136" i="1" s="1"/>
  <c r="H136" i="1" s="1"/>
  <c r="F137" i="1" l="1"/>
  <c r="G137" i="1" l="1"/>
  <c r="H137" i="1" s="1"/>
  <c r="F138" i="1" l="1"/>
  <c r="G138" i="1" l="1"/>
  <c r="H138" i="1" s="1"/>
  <c r="F139" i="1" l="1"/>
  <c r="G139" i="1" l="1"/>
  <c r="H139" i="1" s="1"/>
  <c r="F140" i="1" l="1"/>
  <c r="G140" i="1" l="1"/>
  <c r="H140" i="1" s="1"/>
  <c r="F141" i="1" l="1"/>
  <c r="G141" i="1" l="1"/>
  <c r="H141" i="1" s="1"/>
  <c r="F142" i="1" l="1"/>
  <c r="G142" i="1" l="1"/>
  <c r="H142" i="1" s="1"/>
  <c r="F143" i="1" l="1"/>
  <c r="G143" i="1" s="1"/>
  <c r="H143" i="1" s="1"/>
  <c r="F144" i="1" l="1"/>
  <c r="G144" i="1" l="1"/>
  <c r="H144" i="1" s="1"/>
  <c r="F145" i="1" l="1"/>
  <c r="G145" i="1" s="1"/>
  <c r="H145" i="1" l="1"/>
  <c r="F146" i="1"/>
  <c r="G146" i="1" s="1"/>
  <c r="H146" i="1" s="1"/>
  <c r="F147" i="1" l="1"/>
  <c r="G147" i="1" s="1"/>
  <c r="F148" i="1" s="1"/>
  <c r="H147" i="1" l="1"/>
  <c r="G148" i="1"/>
  <c r="H148" i="1" s="1"/>
  <c r="F149" i="1" l="1"/>
  <c r="G149" i="1" l="1"/>
  <c r="H149" i="1" s="1"/>
  <c r="F150" i="1" l="1"/>
  <c r="G150" i="1" s="1"/>
  <c r="H150" i="1" s="1"/>
  <c r="F151" i="1" l="1"/>
  <c r="G151" i="1" l="1"/>
  <c r="H151" i="1" s="1"/>
  <c r="F152" i="1" l="1"/>
  <c r="G152" i="1" l="1"/>
  <c r="H152" i="1" s="1"/>
  <c r="F153" i="1" l="1"/>
  <c r="G153" i="1" l="1"/>
  <c r="H153" i="1" s="1"/>
  <c r="F154" i="1" l="1"/>
  <c r="G154" i="1" l="1"/>
  <c r="H154" i="1" s="1"/>
  <c r="F155" i="1" l="1"/>
  <c r="G155" i="1" l="1"/>
  <c r="H155" i="1" s="1"/>
  <c r="F156" i="1" l="1"/>
  <c r="G156" i="1" l="1"/>
  <c r="H156" i="1" s="1"/>
  <c r="F157" i="1" l="1"/>
  <c r="G157" i="1" l="1"/>
  <c r="H157" i="1" s="1"/>
  <c r="F158" i="1" l="1"/>
  <c r="G158" i="1" l="1"/>
  <c r="H158" i="1" s="1"/>
  <c r="F159" i="1" l="1"/>
  <c r="G159" i="1" l="1"/>
  <c r="H159" i="1" s="1"/>
  <c r="F160" i="1" l="1"/>
  <c r="G160" i="1" l="1"/>
  <c r="H160" i="1" s="1"/>
  <c r="F161" i="1" l="1"/>
  <c r="G161" i="1" l="1"/>
  <c r="H161" i="1" s="1"/>
  <c r="F162" i="1" l="1"/>
  <c r="G162" i="1" l="1"/>
  <c r="H162" i="1" s="1"/>
  <c r="F163" i="1" l="1"/>
  <c r="G163" i="1" l="1"/>
  <c r="H163" i="1" s="1"/>
  <c r="F164" i="1" l="1"/>
  <c r="G164" i="1" s="1"/>
  <c r="H164" i="1" l="1"/>
  <c r="F165" i="1"/>
  <c r="G165" i="1" s="1"/>
  <c r="H165" i="1" s="1"/>
  <c r="F166" i="1" l="1"/>
  <c r="G166" i="1" l="1"/>
  <c r="H166" i="1" s="1"/>
  <c r="F167" i="1" l="1"/>
  <c r="G167" i="1" s="1"/>
  <c r="H167" i="1" s="1"/>
  <c r="F168" i="1" l="1"/>
  <c r="G168" i="1" s="1"/>
  <c r="H168" i="1" s="1"/>
  <c r="F169" i="1" l="1"/>
  <c r="G169" i="1" s="1"/>
  <c r="H169" i="1" s="1"/>
  <c r="F170" i="1" l="1"/>
  <c r="G170" i="1" s="1"/>
  <c r="H170" i="1" s="1"/>
  <c r="F171" i="1" l="1"/>
  <c r="G171" i="1" l="1"/>
  <c r="H171" i="1" s="1"/>
  <c r="F172" i="1" l="1"/>
  <c r="G172" i="1" l="1"/>
  <c r="H172" i="1" s="1"/>
  <c r="F173" i="1" l="1"/>
  <c r="G173" i="1" l="1"/>
  <c r="H173" i="1" s="1"/>
  <c r="F174" i="1" l="1"/>
  <c r="G174" i="1" l="1"/>
  <c r="H174" i="1" s="1"/>
  <c r="F175" i="1" l="1"/>
  <c r="G175" i="1" s="1"/>
  <c r="H175" i="1" s="1"/>
  <c r="F176" i="1" l="1"/>
  <c r="G176" i="1" l="1"/>
  <c r="H176" i="1" s="1"/>
  <c r="F177" i="1" l="1"/>
  <c r="G177" i="1" l="1"/>
  <c r="H177" i="1" s="1"/>
  <c r="F178" i="1" l="1"/>
  <c r="G178" i="1" l="1"/>
  <c r="H178" i="1" s="1"/>
  <c r="F179" i="1" l="1"/>
  <c r="G179" i="1" s="1"/>
  <c r="H179" i="1" l="1"/>
  <c r="F180" i="1"/>
  <c r="G180" i="1" s="1"/>
  <c r="H180" i="1" l="1"/>
  <c r="F181" i="1"/>
  <c r="G181" i="1" s="1"/>
  <c r="H181" i="1" s="1"/>
  <c r="F182" i="1" l="1"/>
  <c r="G182" i="1" s="1"/>
  <c r="H182" i="1" s="1"/>
  <c r="F183" i="1" l="1"/>
  <c r="G183" i="1" s="1"/>
  <c r="H183" i="1" s="1"/>
  <c r="F184" i="1" l="1"/>
  <c r="G184" i="1" l="1"/>
  <c r="H184" i="1" s="1"/>
  <c r="F185" i="1" l="1"/>
  <c r="G185" i="1" s="1"/>
  <c r="H185" i="1" s="1"/>
  <c r="F186" i="1" l="1"/>
  <c r="G186" i="1" s="1"/>
  <c r="F187" i="1" s="1"/>
  <c r="H186" i="1" l="1"/>
  <c r="G187" i="1"/>
  <c r="H187" i="1" s="1"/>
  <c r="F188" i="1" l="1"/>
  <c r="G188" i="1" s="1"/>
  <c r="H188" i="1" s="1"/>
  <c r="F189" i="1" l="1"/>
  <c r="G189" i="1" s="1"/>
  <c r="H189" i="1" l="1"/>
  <c r="F190" i="1"/>
  <c r="G190" i="1" s="1"/>
  <c r="H190" i="1" s="1"/>
  <c r="F191" i="1" l="1"/>
  <c r="G191" i="1" s="1"/>
  <c r="H191" i="1" l="1"/>
  <c r="F192" i="1"/>
  <c r="G192" i="1" s="1"/>
  <c r="H192" i="1" l="1"/>
  <c r="F193" i="1"/>
  <c r="G193" i="1" s="1"/>
  <c r="H193" i="1" s="1"/>
  <c r="F194" i="1" l="1"/>
  <c r="G194" i="1" s="1"/>
  <c r="H194" i="1" s="1"/>
  <c r="F195" i="1" l="1"/>
  <c r="G195" i="1" l="1"/>
  <c r="H195" i="1" s="1"/>
  <c r="F196" i="1" l="1"/>
  <c r="G196" i="1" s="1"/>
  <c r="H196" i="1" s="1"/>
  <c r="F197" i="1" l="1"/>
  <c r="G197" i="1" s="1"/>
  <c r="H197" i="1" s="1"/>
  <c r="F198" i="1" l="1"/>
  <c r="G198" i="1" s="1"/>
  <c r="H198" i="1" s="1"/>
  <c r="F199" i="1" l="1"/>
  <c r="G199" i="1" s="1"/>
  <c r="H199" i="1" s="1"/>
  <c r="F200" i="1" l="1"/>
  <c r="G200" i="1" s="1"/>
  <c r="H200" i="1" s="1"/>
  <c r="F201" i="1" l="1"/>
  <c r="G201" i="1" s="1"/>
  <c r="H201" i="1" s="1"/>
  <c r="F202" i="1" l="1"/>
  <c r="G202" i="1" s="1"/>
  <c r="H202" i="1" l="1"/>
  <c r="F203" i="1"/>
  <c r="G203" i="1" s="1"/>
  <c r="H203" i="1" s="1"/>
  <c r="F204" i="1" l="1"/>
  <c r="G204" i="1" s="1"/>
  <c r="H204" i="1" s="1"/>
  <c r="F205" i="1" l="1"/>
  <c r="G205" i="1" s="1"/>
  <c r="H205" i="1" s="1"/>
  <c r="F206" i="1" l="1"/>
  <c r="G206" i="1" s="1"/>
  <c r="H206" i="1" s="1"/>
  <c r="F207" i="1" l="1"/>
  <c r="G207" i="1" l="1"/>
  <c r="H207" i="1" s="1"/>
  <c r="F208" i="1" l="1"/>
  <c r="G208" i="1" l="1"/>
  <c r="H208" i="1" s="1"/>
  <c r="F209" i="1" l="1"/>
  <c r="G209" i="1" l="1"/>
  <c r="H209" i="1" s="1"/>
  <c r="F210" i="1" l="1"/>
  <c r="G210" i="1" s="1"/>
  <c r="H210" i="1" s="1"/>
  <c r="F211" i="1" l="1"/>
  <c r="G211" i="1" l="1"/>
  <c r="H211" i="1" s="1"/>
  <c r="F212" i="1" l="1"/>
  <c r="G212" i="1" l="1"/>
  <c r="H212" i="1" s="1"/>
  <c r="F213" i="1" l="1"/>
  <c r="G213" i="1" s="1"/>
  <c r="H213" i="1" s="1"/>
  <c r="F214" i="1" l="1"/>
  <c r="G214" i="1" l="1"/>
  <c r="H214" i="1" s="1"/>
  <c r="F215" i="1" l="1"/>
  <c r="G215" i="1" l="1"/>
  <c r="H215" i="1" s="1"/>
  <c r="F216" i="1" l="1"/>
  <c r="G216" i="1" s="1"/>
  <c r="H216" i="1" l="1"/>
  <c r="F217" i="1"/>
  <c r="G217" i="1" s="1"/>
  <c r="H217" i="1" s="1"/>
  <c r="F218" i="1" l="1"/>
  <c r="G218" i="1" s="1"/>
  <c r="H218" i="1" l="1"/>
  <c r="F219" i="1"/>
  <c r="G219" i="1" s="1"/>
  <c r="H219" i="1" s="1"/>
  <c r="F220" i="1" l="1"/>
  <c r="G220" i="1" s="1"/>
  <c r="F221" i="1" l="1"/>
  <c r="H220" i="1"/>
  <c r="G221" i="1" l="1"/>
  <c r="H221" i="1" s="1"/>
  <c r="F222" i="1" l="1"/>
  <c r="G222" i="1" l="1"/>
  <c r="H222" i="1" s="1"/>
  <c r="F223" i="1" l="1"/>
  <c r="G223" i="1" l="1"/>
  <c r="H223" i="1" s="1"/>
  <c r="F224" i="1" l="1"/>
  <c r="G224" i="1" l="1"/>
  <c r="H224" i="1" s="1"/>
  <c r="F225" i="1" l="1"/>
  <c r="G225" i="1" l="1"/>
  <c r="H225" i="1" s="1"/>
  <c r="F226" i="1" l="1"/>
  <c r="G226" i="1" l="1"/>
  <c r="H226" i="1" s="1"/>
  <c r="F227" i="1" l="1"/>
  <c r="G227" i="1" l="1"/>
  <c r="H227" i="1" s="1"/>
  <c r="F228" i="1" l="1"/>
  <c r="G228" i="1" l="1"/>
  <c r="H228" i="1" s="1"/>
  <c r="F229" i="1" l="1"/>
  <c r="G229" i="1" s="1"/>
  <c r="H229" i="1" s="1"/>
  <c r="F230" i="1" l="1"/>
  <c r="G230" i="1" s="1"/>
  <c r="H230" i="1" s="1"/>
  <c r="F231" i="1" l="1"/>
  <c r="G231" i="1" l="1"/>
  <c r="H231" i="1" s="1"/>
  <c r="F232" i="1" l="1"/>
  <c r="G232" i="1" l="1"/>
  <c r="H232" i="1" s="1"/>
  <c r="F233" i="1" l="1"/>
  <c r="G233" i="1" l="1"/>
  <c r="H233" i="1" s="1"/>
  <c r="F234" i="1" l="1"/>
  <c r="G234" i="1" l="1"/>
  <c r="H234" i="1" s="1"/>
  <c r="F235" i="1" l="1"/>
  <c r="G235" i="1" l="1"/>
  <c r="H235" i="1" s="1"/>
  <c r="F236" i="1" l="1"/>
  <c r="G236" i="1" l="1"/>
  <c r="H236" i="1" s="1"/>
  <c r="F237" i="1" l="1"/>
  <c r="G237" i="1" l="1"/>
  <c r="H237" i="1" s="1"/>
  <c r="F238" i="1" l="1"/>
  <c r="G238" i="1" l="1"/>
  <c r="H238" i="1" s="1"/>
  <c r="F239" i="1" l="1"/>
  <c r="G239" i="1" s="1"/>
  <c r="H239" i="1" s="1"/>
  <c r="F240" i="1" l="1"/>
  <c r="G240" i="1" s="1"/>
  <c r="H240" i="1" s="1"/>
  <c r="F241" i="1" l="1"/>
  <c r="G241" i="1" s="1"/>
  <c r="H241" i="1" l="1"/>
  <c r="F242" i="1"/>
  <c r="G242" i="1" s="1"/>
  <c r="H242" i="1" s="1"/>
  <c r="F243" i="1" l="1"/>
  <c r="G243" i="1" s="1"/>
  <c r="H243" i="1" l="1"/>
  <c r="F244" i="1"/>
  <c r="G244" i="1" s="1"/>
  <c r="H244" i="1" s="1"/>
  <c r="F245" i="1" l="1"/>
  <c r="G245" i="1" l="1"/>
  <c r="H245" i="1" s="1"/>
  <c r="F246" i="1" l="1"/>
  <c r="G246" i="1" l="1"/>
  <c r="H246" i="1" s="1"/>
  <c r="F247" i="1" l="1"/>
  <c r="G247" i="1" l="1"/>
  <c r="H247" i="1" s="1"/>
  <c r="F248" i="1" l="1"/>
  <c r="G248" i="1" l="1"/>
  <c r="H248" i="1" s="1"/>
  <c r="F249" i="1" l="1"/>
  <c r="G249" i="1" l="1"/>
  <c r="H249" i="1" s="1"/>
  <c r="F250" i="1" l="1"/>
  <c r="G250" i="1" l="1"/>
  <c r="H250" i="1" s="1"/>
  <c r="F251" i="1" l="1"/>
  <c r="G251" i="1" l="1"/>
  <c r="H251" i="1" s="1"/>
  <c r="F252" i="1" l="1"/>
  <c r="G252" i="1" s="1"/>
  <c r="H252" i="1" s="1"/>
  <c r="F253" i="1" l="1"/>
  <c r="G253" i="1" s="1"/>
  <c r="H253" i="1" s="1"/>
  <c r="F254" i="1" l="1"/>
  <c r="G254" i="1" l="1"/>
  <c r="H254" i="1" s="1"/>
  <c r="F255" i="1" l="1"/>
  <c r="G255" i="1" l="1"/>
  <c r="H255" i="1" s="1"/>
  <c r="F256" i="1" l="1"/>
  <c r="G256" i="1" l="1"/>
  <c r="H256" i="1" s="1"/>
  <c r="F257" i="1" l="1"/>
  <c r="G257" i="1" s="1"/>
  <c r="H257" i="1" s="1"/>
  <c r="F258" i="1" l="1"/>
  <c r="G258" i="1" s="1"/>
  <c r="H258" i="1" s="1"/>
  <c r="F259" i="1" l="1"/>
  <c r="G259" i="1" l="1"/>
  <c r="H259" i="1" s="1"/>
  <c r="F260" i="1" l="1"/>
  <c r="G260" i="1" l="1"/>
  <c r="H260" i="1" s="1"/>
  <c r="F261" i="1" l="1"/>
  <c r="G261" i="1" s="1"/>
  <c r="H261" i="1" s="1"/>
  <c r="F262" i="1" l="1"/>
  <c r="G262" i="1" s="1"/>
  <c r="H262" i="1" l="1"/>
  <c r="F263" i="1"/>
  <c r="G263" i="1" s="1"/>
  <c r="H263" i="1" l="1"/>
  <c r="F264" i="1"/>
  <c r="G264" i="1" s="1"/>
  <c r="H264" i="1" l="1"/>
  <c r="F265" i="1"/>
  <c r="G265" i="1" s="1"/>
  <c r="H265" i="1" s="1"/>
  <c r="F266" i="1" l="1"/>
  <c r="G266" i="1" l="1"/>
  <c r="H266" i="1" s="1"/>
  <c r="F267" i="1" l="1"/>
  <c r="G267" i="1" l="1"/>
  <c r="H267" i="1" s="1"/>
  <c r="F268" i="1" l="1"/>
  <c r="G268" i="1" l="1"/>
  <c r="H268" i="1" s="1"/>
  <c r="F269" i="1" l="1"/>
  <c r="G269" i="1" l="1"/>
  <c r="H269" i="1" s="1"/>
  <c r="F270" i="1" l="1"/>
  <c r="G270" i="1" l="1"/>
  <c r="H270" i="1" s="1"/>
  <c r="F271" i="1" l="1"/>
  <c r="G271" i="1" l="1"/>
  <c r="H271" i="1" s="1"/>
  <c r="F272" i="1" l="1"/>
  <c r="G272" i="1" s="1"/>
  <c r="H272" i="1" s="1"/>
  <c r="F273" i="1" l="1"/>
  <c r="G273" i="1" l="1"/>
  <c r="H273" i="1" s="1"/>
  <c r="F274" i="1" l="1"/>
  <c r="G274" i="1" s="1"/>
  <c r="H274" i="1" s="1"/>
  <c r="F275" i="1" l="1"/>
  <c r="G275" i="1" l="1"/>
  <c r="H275" i="1" s="1"/>
  <c r="F276" i="1" l="1"/>
  <c r="G276" i="1" s="1"/>
  <c r="H276" i="1" l="1"/>
  <c r="F277" i="1"/>
  <c r="G277" i="1" s="1"/>
  <c r="F278" i="1" s="1"/>
  <c r="H277" i="1" l="1"/>
  <c r="G278" i="1"/>
  <c r="H278" i="1" s="1"/>
  <c r="F279" i="1" l="1"/>
  <c r="G279" i="1" s="1"/>
  <c r="H279" i="1" s="1"/>
  <c r="F280" i="1" l="1"/>
  <c r="G280" i="1" l="1"/>
  <c r="H280" i="1" s="1"/>
  <c r="F281" i="1" l="1"/>
  <c r="G281" i="1" l="1"/>
  <c r="H281" i="1" s="1"/>
  <c r="F282" i="1" l="1"/>
  <c r="G282" i="1" l="1"/>
  <c r="H282" i="1" s="1"/>
  <c r="F283" i="1" l="1"/>
  <c r="G283" i="1" l="1"/>
  <c r="H283" i="1" s="1"/>
  <c r="F284" i="1" l="1"/>
  <c r="G284" i="1" l="1"/>
  <c r="H284" i="1" s="1"/>
  <c r="F285" i="1" l="1"/>
  <c r="G285" i="1" l="1"/>
  <c r="H285" i="1" s="1"/>
  <c r="F286" i="1" l="1"/>
  <c r="G286" i="1" l="1"/>
  <c r="H286" i="1" s="1"/>
  <c r="F287" i="1" l="1"/>
  <c r="G287" i="1" l="1"/>
  <c r="H287" i="1" s="1"/>
  <c r="F288" i="1" l="1"/>
  <c r="G288" i="1" l="1"/>
  <c r="H288" i="1" s="1"/>
  <c r="F289" i="1" l="1"/>
  <c r="G289" i="1" l="1"/>
  <c r="H289" i="1" s="1"/>
  <c r="F290" i="1" l="1"/>
  <c r="G290" i="1" l="1"/>
  <c r="H290" i="1" s="1"/>
  <c r="F291" i="1" l="1"/>
  <c r="G291" i="1" l="1"/>
  <c r="H291" i="1" s="1"/>
  <c r="F292" i="1" l="1"/>
  <c r="G292" i="1" l="1"/>
  <c r="H292" i="1" s="1"/>
  <c r="F293" i="1" l="1"/>
  <c r="G293" i="1" l="1"/>
  <c r="H293" i="1" s="1"/>
  <c r="F294" i="1" l="1"/>
  <c r="G294" i="1" s="1"/>
  <c r="H294" i="1" s="1"/>
  <c r="F295" i="1" l="1"/>
  <c r="G295" i="1" l="1"/>
  <c r="H295" i="1" s="1"/>
  <c r="F296" i="1" l="1"/>
  <c r="G296" i="1" s="1"/>
  <c r="F297" i="1" l="1"/>
  <c r="H296" i="1"/>
  <c r="G297" i="1" l="1"/>
  <c r="H297" i="1" s="1"/>
  <c r="F298" i="1" l="1"/>
  <c r="G298" i="1" s="1"/>
  <c r="H298" i="1" s="1"/>
  <c r="F299" i="1" l="1"/>
  <c r="G299" i="1" s="1"/>
  <c r="H299" i="1" s="1"/>
  <c r="F300" i="1" l="1"/>
  <c r="G300" i="1" l="1"/>
  <c r="H300" i="1" s="1"/>
  <c r="F301" i="1" l="1"/>
  <c r="G301" i="1" l="1"/>
  <c r="H301" i="1" s="1"/>
  <c r="F302" i="1" l="1"/>
  <c r="G302" i="1" s="1"/>
  <c r="H302" i="1" s="1"/>
  <c r="F303" i="1" l="1"/>
  <c r="G303" i="1" l="1"/>
  <c r="H303" i="1" s="1"/>
  <c r="F304" i="1" l="1"/>
  <c r="G304" i="1" s="1"/>
  <c r="H304" i="1" s="1"/>
  <c r="F305" i="1" l="1"/>
  <c r="G305" i="1" s="1"/>
  <c r="H305" i="1" s="1"/>
  <c r="F306" i="1" l="1"/>
  <c r="G306" i="1" l="1"/>
  <c r="H306" i="1" s="1"/>
  <c r="F307" i="1" l="1"/>
  <c r="G307" i="1" l="1"/>
  <c r="H307" i="1" s="1"/>
  <c r="F308" i="1" l="1"/>
  <c r="G308" i="1" l="1"/>
  <c r="H308" i="1" s="1"/>
  <c r="F309" i="1" l="1"/>
  <c r="G309" i="1" l="1"/>
  <c r="H309" i="1" s="1"/>
  <c r="F310" i="1" l="1"/>
  <c r="G310" i="1" l="1"/>
  <c r="H310" i="1" s="1"/>
  <c r="F311" i="1" l="1"/>
  <c r="G311" i="1" l="1"/>
  <c r="H311" i="1" s="1"/>
  <c r="F312" i="1" l="1"/>
  <c r="G312" i="1" l="1"/>
  <c r="H312" i="1" s="1"/>
  <c r="F313" i="1" l="1"/>
  <c r="G313" i="1" l="1"/>
  <c r="H313" i="1" s="1"/>
  <c r="F314" i="1" l="1"/>
  <c r="G314" i="1" l="1"/>
  <c r="H314" i="1" s="1"/>
  <c r="F315" i="1" l="1"/>
  <c r="G315" i="1" s="1"/>
  <c r="F316" i="1" l="1"/>
  <c r="H315" i="1"/>
  <c r="G316" i="1" l="1"/>
  <c r="H316" i="1" s="1"/>
  <c r="F317" i="1" l="1"/>
  <c r="G317" i="1" s="1"/>
  <c r="H317" i="1" s="1"/>
  <c r="F318" i="1" l="1"/>
  <c r="G318" i="1" s="1"/>
  <c r="H318" i="1" s="1"/>
  <c r="F319" i="1" l="1"/>
  <c r="G319" i="1" s="1"/>
  <c r="H319" i="1" s="1"/>
  <c r="F320" i="1" l="1"/>
  <c r="G320" i="1" s="1"/>
  <c r="H320" i="1" s="1"/>
  <c r="F321" i="1" l="1"/>
  <c r="G321" i="1" s="1"/>
  <c r="H321" i="1" s="1"/>
  <c r="F322" i="1" l="1"/>
  <c r="G322" i="1" l="1"/>
  <c r="H322" i="1" s="1"/>
  <c r="F323" i="1" l="1"/>
  <c r="G323" i="1" l="1"/>
  <c r="H323" i="1" s="1"/>
  <c r="F324" i="1" l="1"/>
  <c r="G324" i="1" l="1"/>
  <c r="H324" i="1" s="1"/>
  <c r="F325" i="1" l="1"/>
  <c r="G325" i="1" l="1"/>
  <c r="H325" i="1" s="1"/>
  <c r="F326" i="1" l="1"/>
  <c r="G326" i="1" l="1"/>
  <c r="H326" i="1" s="1"/>
  <c r="F327" i="1" l="1"/>
  <c r="G327" i="1" s="1"/>
  <c r="H327" i="1" s="1"/>
  <c r="F328" i="1" l="1"/>
  <c r="G328" i="1" l="1"/>
  <c r="H328" i="1" s="1"/>
  <c r="F329" i="1" l="1"/>
  <c r="G329" i="1" l="1"/>
  <c r="H329" i="1" s="1"/>
  <c r="F330" i="1" l="1"/>
  <c r="G330" i="1" s="1"/>
  <c r="H330" i="1" s="1"/>
  <c r="F331" i="1" l="1"/>
  <c r="G331" i="1" l="1"/>
  <c r="H331" i="1" s="1"/>
  <c r="F332" i="1" l="1"/>
  <c r="G332" i="1" l="1"/>
  <c r="H332" i="1" s="1"/>
  <c r="F333" i="1" l="1"/>
  <c r="G333" i="1" l="1"/>
  <c r="H333" i="1" s="1"/>
  <c r="F334" i="1" l="1"/>
  <c r="G334" i="1" s="1"/>
  <c r="H334" i="1" s="1"/>
  <c r="F335" i="1" l="1"/>
  <c r="G335" i="1" s="1"/>
  <c r="H335" i="1" s="1"/>
  <c r="F336" i="1" l="1"/>
  <c r="G336" i="1" s="1"/>
  <c r="H336" i="1" s="1"/>
  <c r="F337" i="1" l="1"/>
  <c r="G337" i="1" s="1"/>
  <c r="H337" i="1" l="1"/>
  <c r="F338" i="1"/>
  <c r="G338" i="1" s="1"/>
  <c r="H338" i="1" s="1"/>
  <c r="F339" i="1" l="1"/>
  <c r="G339" i="1" l="1"/>
  <c r="H339" i="1" s="1"/>
  <c r="F340" i="1" l="1"/>
  <c r="G340" i="1" s="1"/>
  <c r="H340" i="1" l="1"/>
  <c r="F341" i="1"/>
  <c r="G341" i="1" s="1"/>
  <c r="H341" i="1" l="1"/>
  <c r="F342" i="1"/>
  <c r="G342" i="1" s="1"/>
  <c r="H342" i="1" s="1"/>
  <c r="F343" i="1" l="1"/>
  <c r="G343" i="1" s="1"/>
  <c r="H343" i="1" s="1"/>
  <c r="F344" i="1" l="1"/>
  <c r="G344" i="1" s="1"/>
  <c r="H344" i="1" s="1"/>
  <c r="F345" i="1" l="1"/>
  <c r="G345" i="1" s="1"/>
  <c r="H345" i="1" s="1"/>
  <c r="F346" i="1" l="1"/>
  <c r="G346" i="1" s="1"/>
  <c r="H346" i="1" s="1"/>
  <c r="F347" i="1" l="1"/>
  <c r="G347" i="1" l="1"/>
  <c r="H347" i="1" s="1"/>
  <c r="F348" i="1" l="1"/>
  <c r="G348" i="1" l="1"/>
  <c r="H348" i="1" s="1"/>
  <c r="F349" i="1" l="1"/>
  <c r="G349" i="1" s="1"/>
  <c r="H349" i="1" s="1"/>
  <c r="F350" i="1" l="1"/>
  <c r="G350" i="1" l="1"/>
  <c r="H350" i="1" s="1"/>
  <c r="F351" i="1" l="1"/>
  <c r="G351" i="1" l="1"/>
  <c r="H351" i="1" s="1"/>
  <c r="F352" i="1" l="1"/>
  <c r="G352" i="1" l="1"/>
  <c r="H352" i="1" s="1"/>
  <c r="F353" i="1" l="1"/>
  <c r="G353" i="1" s="1"/>
  <c r="H353" i="1" s="1"/>
  <c r="F354" i="1" l="1"/>
  <c r="G354" i="1" s="1"/>
  <c r="H354" i="1" s="1"/>
  <c r="F355" i="1" l="1"/>
  <c r="G355" i="1" s="1"/>
  <c r="H355" i="1" s="1"/>
  <c r="F356" i="1" l="1"/>
  <c r="G356" i="1" s="1"/>
  <c r="H356" i="1" l="1"/>
  <c r="F357" i="1"/>
  <c r="G357" i="1" s="1"/>
  <c r="H357" i="1" l="1"/>
  <c r="F358" i="1"/>
  <c r="G358" i="1" s="1"/>
  <c r="H358" i="1" l="1"/>
  <c r="F359" i="1"/>
  <c r="G359" i="1" s="1"/>
  <c r="H359" i="1" l="1"/>
  <c r="F360" i="1"/>
  <c r="G360" i="1" s="1"/>
  <c r="H360" i="1" s="1"/>
  <c r="F361" i="1" l="1"/>
  <c r="G361" i="1" l="1"/>
  <c r="H361" i="1" s="1"/>
  <c r="F362" i="1" l="1"/>
  <c r="G362" i="1" l="1"/>
  <c r="H362" i="1" s="1"/>
  <c r="F363" i="1" l="1"/>
  <c r="G363" i="1" l="1"/>
  <c r="H363" i="1" s="1"/>
  <c r="F364" i="1" l="1"/>
  <c r="G364" i="1" l="1"/>
  <c r="H364" i="1" s="1"/>
  <c r="F365" i="1" l="1"/>
  <c r="G365" i="1" l="1"/>
  <c r="H365" i="1" s="1"/>
  <c r="F366" i="1" l="1"/>
  <c r="G366" i="1" l="1"/>
  <c r="H366" i="1" s="1"/>
  <c r="F367" i="1" l="1"/>
  <c r="G367" i="1" l="1"/>
  <c r="H367" i="1" s="1"/>
  <c r="F368" i="1" l="1"/>
  <c r="G368" i="1" l="1"/>
  <c r="H368" i="1" s="1"/>
  <c r="F369" i="1" l="1"/>
  <c r="G369" i="1" l="1"/>
  <c r="H369" i="1" s="1"/>
  <c r="F370" i="1" l="1"/>
  <c r="G370" i="1" l="1"/>
  <c r="H370" i="1" s="1"/>
  <c r="F371" i="1" l="1"/>
  <c r="G371" i="1" l="1"/>
  <c r="H371" i="1" s="1"/>
  <c r="F372" i="1" l="1"/>
  <c r="G372" i="1" l="1"/>
  <c r="H372" i="1" s="1"/>
  <c r="F373" i="1" l="1"/>
  <c r="G373" i="1" s="1"/>
  <c r="F374" i="1" s="1"/>
  <c r="H373" i="1" l="1"/>
  <c r="G374" i="1"/>
  <c r="H374" i="1" s="1"/>
  <c r="F375" i="1" l="1"/>
  <c r="G375" i="1" l="1"/>
  <c r="H375" i="1" s="1"/>
  <c r="F376" i="1" l="1"/>
  <c r="G376" i="1" l="1"/>
  <c r="H376" i="1" s="1"/>
  <c r="F377" i="1" l="1"/>
  <c r="G377" i="1" l="1"/>
  <c r="H377" i="1" s="1"/>
  <c r="F378" i="1" l="1"/>
  <c r="G378" i="1" l="1"/>
  <c r="H378" i="1" s="1"/>
  <c r="F379" i="1" l="1"/>
  <c r="G379" i="1" l="1"/>
  <c r="H379" i="1" s="1"/>
  <c r="F380" i="1" l="1"/>
  <c r="G380" i="1" l="1"/>
  <c r="H380" i="1" s="1"/>
  <c r="F381" i="1" l="1"/>
  <c r="G381" i="1" l="1"/>
  <c r="H381" i="1" s="1"/>
  <c r="F382" i="1" l="1"/>
  <c r="G382" i="1" l="1"/>
  <c r="H382" i="1" s="1"/>
  <c r="F383" i="1" l="1"/>
  <c r="G383" i="1" l="1"/>
  <c r="H383" i="1" s="1"/>
  <c r="F384" i="1" l="1"/>
  <c r="G384" i="1" l="1"/>
  <c r="H384" i="1" s="1"/>
  <c r="F385" i="1" l="1"/>
  <c r="G385" i="1" l="1"/>
  <c r="H385" i="1" s="1"/>
  <c r="F386" i="1" l="1"/>
  <c r="G386" i="1" l="1"/>
  <c r="H386" i="1" s="1"/>
  <c r="F387" i="1" l="1"/>
  <c r="G387" i="1" l="1"/>
  <c r="H387" i="1" s="1"/>
  <c r="F388" i="1" l="1"/>
  <c r="G388" i="1" l="1"/>
  <c r="H388" i="1" s="1"/>
  <c r="F389" i="1" l="1"/>
  <c r="G389" i="1" l="1"/>
  <c r="H389" i="1" s="1"/>
  <c r="F390" i="1" l="1"/>
  <c r="G390" i="1" s="1"/>
  <c r="F391" i="1" s="1"/>
  <c r="H390" i="1" l="1"/>
  <c r="G391" i="1"/>
  <c r="H391" i="1" s="1"/>
  <c r="F392" i="1" l="1"/>
  <c r="G392" i="1" l="1"/>
  <c r="H392" i="1" s="1"/>
  <c r="F393" i="1" l="1"/>
  <c r="G393" i="1" l="1"/>
  <c r="H393" i="1" s="1"/>
  <c r="F394" i="1" l="1"/>
  <c r="G394" i="1" s="1"/>
  <c r="H394" i="1" l="1"/>
  <c r="F395" i="1"/>
  <c r="G395" i="1" s="1"/>
  <c r="H395" i="1" l="1"/>
  <c r="F396" i="1"/>
  <c r="G396" i="1" s="1"/>
  <c r="H396" i="1" l="1"/>
  <c r="F397" i="1"/>
  <c r="G397" i="1" s="1"/>
  <c r="H397" i="1" l="1"/>
  <c r="F398" i="1"/>
  <c r="G398" i="1" s="1"/>
  <c r="H398" i="1" l="1"/>
  <c r="F399" i="1"/>
  <c r="G399" i="1" s="1"/>
  <c r="H399" i="1" l="1"/>
  <c r="F400" i="1"/>
  <c r="G400" i="1" s="1"/>
  <c r="H400" i="1" l="1"/>
  <c r="F401" i="1"/>
  <c r="G401" i="1" s="1"/>
  <c r="H401" i="1" s="1"/>
  <c r="F402" i="1" l="1"/>
  <c r="G402" i="1" s="1"/>
  <c r="H402" i="1" s="1"/>
  <c r="F403" i="1" l="1"/>
  <c r="G403" i="1" s="1"/>
  <c r="H403" i="1" s="1"/>
  <c r="F404" i="1" l="1"/>
  <c r="G404" i="1" s="1"/>
  <c r="H404" i="1" s="1"/>
  <c r="F405" i="1" l="1"/>
  <c r="G405" i="1" s="1"/>
  <c r="H405" i="1" s="1"/>
  <c r="F406" i="1" l="1"/>
  <c r="G406" i="1" l="1"/>
  <c r="H406" i="1" s="1"/>
  <c r="F407" i="1" l="1"/>
  <c r="G407" i="1" l="1"/>
  <c r="H407" i="1" s="1"/>
  <c r="F408" i="1" l="1"/>
  <c r="G408" i="1" s="1"/>
  <c r="H408" i="1" s="1"/>
  <c r="F409" i="1" l="1"/>
  <c r="G409" i="1" s="1"/>
  <c r="H409" i="1" s="1"/>
  <c r="F410" i="1" l="1"/>
  <c r="G410" i="1" s="1"/>
  <c r="F411" i="1" s="1"/>
  <c r="H410" i="1" l="1"/>
  <c r="G411" i="1"/>
  <c r="H411" i="1" s="1"/>
  <c r="F412" i="1" l="1"/>
  <c r="G412" i="1" s="1"/>
  <c r="H412" i="1" s="1"/>
  <c r="F413" i="1" l="1"/>
  <c r="G413" i="1" s="1"/>
  <c r="H413" i="1" s="1"/>
  <c r="F414" i="1" l="1"/>
  <c r="G414" i="1" s="1"/>
  <c r="H414" i="1" s="1"/>
  <c r="F415" i="1" l="1"/>
  <c r="G415" i="1" l="1"/>
  <c r="H415" i="1" s="1"/>
  <c r="F416" i="1" l="1"/>
  <c r="G416" i="1" l="1"/>
  <c r="H416" i="1" s="1"/>
  <c r="F417" i="1" l="1"/>
  <c r="G417" i="1" l="1"/>
  <c r="H417" i="1" s="1"/>
  <c r="F418" i="1" l="1"/>
  <c r="G418" i="1" l="1"/>
  <c r="H418" i="1" s="1"/>
  <c r="F419" i="1" l="1"/>
  <c r="G419" i="1" l="1"/>
  <c r="H419" i="1" s="1"/>
  <c r="F420" i="1" l="1"/>
  <c r="G420" i="1" s="1"/>
  <c r="H420" i="1" s="1"/>
  <c r="F421" i="1" l="1"/>
  <c r="G421" i="1" l="1"/>
  <c r="H421" i="1" s="1"/>
  <c r="F422" i="1" l="1"/>
  <c r="G422" i="1" s="1"/>
  <c r="H422" i="1" l="1"/>
  <c r="F423" i="1"/>
  <c r="G423" i="1" s="1"/>
  <c r="H423" i="1" l="1"/>
  <c r="F424" i="1"/>
  <c r="G424" i="1" s="1"/>
  <c r="H424" i="1" l="1"/>
  <c r="F425" i="1"/>
  <c r="G425" i="1" s="1"/>
  <c r="H425" i="1" l="1"/>
  <c r="F426" i="1"/>
  <c r="G426" i="1" s="1"/>
  <c r="H426" i="1" l="1"/>
  <c r="F427" i="1"/>
  <c r="G427" i="1" s="1"/>
  <c r="H427" i="1" s="1"/>
  <c r="F428" i="1" l="1"/>
  <c r="G428" i="1" l="1"/>
  <c r="H428" i="1" s="1"/>
  <c r="F429" i="1" l="1"/>
  <c r="G429" i="1" l="1"/>
  <c r="H429" i="1" s="1"/>
  <c r="F430" i="1" l="1"/>
  <c r="G430" i="1" s="1"/>
  <c r="F431" i="1" s="1"/>
  <c r="H430" i="1" l="1"/>
  <c r="G431" i="1"/>
  <c r="H431" i="1" s="1"/>
  <c r="F432" i="1" l="1"/>
  <c r="G432" i="1" s="1"/>
  <c r="H432" i="1" s="1"/>
  <c r="F433" i="1" l="1"/>
  <c r="G433" i="1" l="1"/>
  <c r="H433" i="1" s="1"/>
  <c r="F434" i="1" l="1"/>
  <c r="G434" i="1" s="1"/>
  <c r="H434" i="1" s="1"/>
  <c r="F435" i="1" l="1"/>
  <c r="G435" i="1" l="1"/>
  <c r="H435" i="1" s="1"/>
  <c r="F436" i="1" l="1"/>
  <c r="G436" i="1" l="1"/>
  <c r="H436" i="1" s="1"/>
  <c r="F437" i="1" l="1"/>
  <c r="G437" i="1" s="1"/>
  <c r="H437" i="1" l="1"/>
  <c r="F438" i="1"/>
  <c r="G438" i="1" s="1"/>
  <c r="H438" i="1" s="1"/>
  <c r="F439" i="1" l="1"/>
  <c r="G439" i="1" l="1"/>
  <c r="H439" i="1" s="1"/>
  <c r="F440" i="1" l="1"/>
  <c r="G440" i="1" s="1"/>
  <c r="H440" i="1" s="1"/>
  <c r="F441" i="1" l="1"/>
  <c r="G441" i="1" s="1"/>
  <c r="H441" i="1" s="1"/>
  <c r="F442" i="1" l="1"/>
  <c r="G442" i="1" s="1"/>
  <c r="H442" i="1" l="1"/>
  <c r="F443" i="1"/>
  <c r="G443" i="1" s="1"/>
  <c r="H443" i="1" s="1"/>
  <c r="F444" i="1" l="1"/>
  <c r="G444" i="1" l="1"/>
  <c r="H444" i="1" s="1"/>
  <c r="F445" i="1" l="1"/>
  <c r="G445" i="1" l="1"/>
  <c r="H445" i="1" s="1"/>
  <c r="F446" i="1" l="1"/>
  <c r="G446" i="1" l="1"/>
  <c r="H446" i="1" s="1"/>
  <c r="F447" i="1" l="1"/>
  <c r="G447" i="1" s="1"/>
  <c r="H447" i="1" s="1"/>
  <c r="F448" i="1" l="1"/>
  <c r="G448" i="1" s="1"/>
  <c r="H448" i="1" s="1"/>
  <c r="F449" i="1" l="1"/>
  <c r="G449" i="1" l="1"/>
  <c r="H449" i="1" s="1"/>
  <c r="F450" i="1" l="1"/>
  <c r="G450" i="1" s="1"/>
  <c r="F451" i="1" l="1"/>
  <c r="H450" i="1"/>
  <c r="G451" i="1" l="1"/>
  <c r="H451" i="1" s="1"/>
  <c r="F452" i="1" l="1"/>
  <c r="G452" i="1" l="1"/>
  <c r="H452" i="1" s="1"/>
  <c r="F453" i="1" l="1"/>
  <c r="G453" i="1" l="1"/>
  <c r="H453" i="1" s="1"/>
  <c r="F454" i="1" l="1"/>
  <c r="G454" i="1" l="1"/>
  <c r="H454" i="1" s="1"/>
  <c r="F455" i="1" l="1"/>
  <c r="G455" i="1" s="1"/>
  <c r="H455" i="1" s="1"/>
  <c r="F456" i="1" l="1"/>
  <c r="G456" i="1" l="1"/>
  <c r="H456" i="1" s="1"/>
  <c r="F457" i="1" l="1"/>
  <c r="G457" i="1" l="1"/>
  <c r="H457" i="1" s="1"/>
  <c r="F458" i="1" l="1"/>
  <c r="G458" i="1" l="1"/>
  <c r="H458" i="1" s="1"/>
  <c r="F459" i="1" l="1"/>
  <c r="G459" i="1" l="1"/>
  <c r="H459" i="1" s="1"/>
  <c r="F460" i="1" l="1"/>
  <c r="G460" i="1" l="1"/>
  <c r="H460" i="1" s="1"/>
  <c r="F461" i="1" l="1"/>
  <c r="G461" i="1" l="1"/>
  <c r="H461" i="1" s="1"/>
  <c r="F462" i="1" l="1"/>
  <c r="G462" i="1" l="1"/>
  <c r="H462" i="1" s="1"/>
  <c r="F463" i="1" l="1"/>
  <c r="G463" i="1" s="1"/>
  <c r="H463" i="1" s="1"/>
  <c r="F464" i="1" l="1"/>
  <c r="G464" i="1" l="1"/>
  <c r="H464" i="1" s="1"/>
  <c r="F465" i="1" l="1"/>
  <c r="G465" i="1" s="1"/>
  <c r="H465" i="1" l="1"/>
  <c r="F466" i="1"/>
  <c r="G466" i="1" s="1"/>
  <c r="H466" i="1" s="1"/>
  <c r="F467" i="1" l="1"/>
  <c r="G467" i="1" s="1"/>
  <c r="H467" i="1" l="1"/>
  <c r="F468" i="1"/>
  <c r="G468" i="1" s="1"/>
  <c r="H468" i="1" s="1"/>
  <c r="F469" i="1" l="1"/>
  <c r="G469" i="1" l="1"/>
  <c r="H469" i="1" s="1"/>
  <c r="F470" i="1" l="1"/>
  <c r="G470" i="1" l="1"/>
  <c r="H470" i="1" s="1"/>
  <c r="F471" i="1" l="1"/>
  <c r="G471" i="1" s="1"/>
  <c r="F472" i="1" l="1"/>
  <c r="H471" i="1"/>
  <c r="G472" i="1" l="1"/>
  <c r="H472" i="1" s="1"/>
  <c r="F473" i="1" l="1"/>
  <c r="G473" i="1" s="1"/>
  <c r="H473" i="1" s="1"/>
  <c r="F474" i="1" l="1"/>
  <c r="G474" i="1" s="1"/>
  <c r="H474" i="1" s="1"/>
  <c r="F475" i="1" l="1"/>
  <c r="G475" i="1" s="1"/>
  <c r="H475" i="1" s="1"/>
  <c r="F476" i="1" l="1"/>
  <c r="G476" i="1" l="1"/>
  <c r="H476" i="1" s="1"/>
  <c r="F477" i="1" l="1"/>
  <c r="G477" i="1" l="1"/>
  <c r="H477" i="1" s="1"/>
  <c r="F478" i="1" l="1"/>
  <c r="G478" i="1" l="1"/>
  <c r="H478" i="1" s="1"/>
  <c r="F479" i="1" l="1"/>
  <c r="G479" i="1" l="1"/>
  <c r="H479" i="1" s="1"/>
  <c r="F480" i="1" l="1"/>
  <c r="G480" i="1" s="1"/>
  <c r="H480" i="1" s="1"/>
  <c r="F481" i="1" l="1"/>
  <c r="G481" i="1" l="1"/>
  <c r="H481" i="1" s="1"/>
  <c r="F482" i="1" l="1"/>
  <c r="G482" i="1" s="1"/>
  <c r="H482" i="1" s="1"/>
  <c r="F483" i="1" l="1"/>
  <c r="G483" i="1" s="1"/>
  <c r="H483" i="1" s="1"/>
  <c r="F484" i="1" l="1"/>
  <c r="G484" i="1" s="1"/>
  <c r="H484" i="1" s="1"/>
  <c r="F485" i="1" l="1"/>
  <c r="G485" i="1" s="1"/>
  <c r="H485" i="1" l="1"/>
  <c r="F486" i="1"/>
  <c r="G486" i="1" s="1"/>
  <c r="H486" i="1" s="1"/>
  <c r="F487" i="1" l="1"/>
  <c r="G487" i="1" s="1"/>
  <c r="H487" i="1" s="1"/>
  <c r="F488" i="1" l="1"/>
  <c r="G488" i="1" l="1"/>
  <c r="H488" i="1" s="1"/>
  <c r="F489" i="1" l="1"/>
  <c r="G489" i="1" s="1"/>
  <c r="H489" i="1" s="1"/>
  <c r="F490" i="1" l="1"/>
  <c r="G490" i="1" s="1"/>
  <c r="H490" i="1" l="1"/>
  <c r="F491" i="1"/>
  <c r="G491" i="1" s="1"/>
  <c r="H491" i="1" l="1"/>
  <c r="F492" i="1"/>
  <c r="G492" i="1" s="1"/>
  <c r="F493" i="1" s="1"/>
  <c r="H492" i="1" l="1"/>
  <c r="G493" i="1"/>
  <c r="H493" i="1" s="1"/>
  <c r="F494" i="1" l="1"/>
  <c r="G494" i="1" l="1"/>
  <c r="H494" i="1" s="1"/>
  <c r="F495" i="1" l="1"/>
  <c r="G495" i="1" l="1"/>
  <c r="H495" i="1" s="1"/>
  <c r="F496" i="1" l="1"/>
  <c r="G496" i="1" l="1"/>
  <c r="H496" i="1" s="1"/>
  <c r="F497" i="1" l="1"/>
  <c r="G497" i="1" l="1"/>
  <c r="H497" i="1" s="1"/>
  <c r="F498" i="1" l="1"/>
  <c r="G498" i="1" l="1"/>
  <c r="H498" i="1" s="1"/>
  <c r="F499" i="1" l="1"/>
  <c r="G499" i="1" l="1"/>
  <c r="H499" i="1" s="1"/>
  <c r="F500" i="1" l="1"/>
  <c r="G500" i="1" l="1"/>
  <c r="H500" i="1" s="1"/>
  <c r="F501" i="1" l="1"/>
  <c r="G501" i="1" l="1"/>
  <c r="H501" i="1" s="1"/>
  <c r="F502" i="1" l="1"/>
  <c r="G502" i="1" l="1"/>
  <c r="H502" i="1" s="1"/>
  <c r="F503" i="1" l="1"/>
  <c r="G503" i="1" l="1"/>
  <c r="H503" i="1" s="1"/>
  <c r="F504" i="1" l="1"/>
  <c r="G504" i="1" l="1"/>
  <c r="H504" i="1" s="1"/>
  <c r="F505" i="1" l="1"/>
  <c r="G505" i="1" l="1"/>
  <c r="H505" i="1" s="1"/>
  <c r="F506" i="1" l="1"/>
  <c r="G506" i="1" l="1"/>
  <c r="H506" i="1" s="1"/>
  <c r="F507" i="1" l="1"/>
  <c r="G507" i="1" l="1"/>
  <c r="H507" i="1" s="1"/>
  <c r="F508" i="1" l="1"/>
  <c r="G508" i="1" l="1"/>
  <c r="H508" i="1" s="1"/>
  <c r="F509" i="1" l="1"/>
  <c r="G509" i="1" l="1"/>
  <c r="H509" i="1" s="1"/>
  <c r="F510" i="1" l="1"/>
  <c r="G510" i="1" l="1"/>
  <c r="H510" i="1" s="1"/>
  <c r="F511" i="1" l="1"/>
  <c r="G511" i="1" l="1"/>
  <c r="H511" i="1" s="1"/>
  <c r="F512" i="1" l="1"/>
  <c r="G512" i="1" l="1"/>
  <c r="H512" i="1" s="1"/>
  <c r="F513" i="1" l="1"/>
  <c r="G513" i="1" s="1"/>
  <c r="F514" i="1" s="1"/>
  <c r="H513" i="1" l="1"/>
  <c r="G514" i="1"/>
  <c r="H514" i="1" s="1"/>
  <c r="F515" i="1" l="1"/>
  <c r="G515" i="1" l="1"/>
  <c r="H515" i="1" s="1"/>
  <c r="F516" i="1" l="1"/>
  <c r="G516" i="1" s="1"/>
  <c r="H516" i="1" l="1"/>
  <c r="F517" i="1"/>
  <c r="G517" i="1" s="1"/>
  <c r="H517" i="1" s="1"/>
  <c r="F518" i="1" l="1"/>
  <c r="G518" i="1" s="1"/>
  <c r="H518" i="1" s="1"/>
  <c r="F519" i="1" l="1"/>
  <c r="G519" i="1" s="1"/>
  <c r="H519" i="1" s="1"/>
  <c r="F520" i="1" l="1"/>
  <c r="G520" i="1" s="1"/>
  <c r="H520" i="1" s="1"/>
  <c r="F521" i="1" l="1"/>
  <c r="G521" i="1" s="1"/>
  <c r="H521" i="1" s="1"/>
  <c r="F522" i="1" l="1"/>
  <c r="G522" i="1" s="1"/>
  <c r="H522" i="1" s="1"/>
  <c r="F523" i="1" l="1"/>
  <c r="G523" i="1" s="1"/>
  <c r="H523" i="1" s="1"/>
  <c r="F524" i="1" l="1"/>
  <c r="G524" i="1" s="1"/>
  <c r="H524" i="1" s="1"/>
  <c r="F525" i="1" l="1"/>
  <c r="G525" i="1" s="1"/>
  <c r="H525" i="1" l="1"/>
  <c r="F526" i="1"/>
  <c r="G526" i="1" s="1"/>
  <c r="H526" i="1" s="1"/>
  <c r="F527" i="1" l="1"/>
  <c r="G527" i="1" s="1"/>
  <c r="H527" i="1" s="1"/>
  <c r="F528" i="1" l="1"/>
  <c r="G528" i="1" s="1"/>
  <c r="H528" i="1" s="1"/>
  <c r="F529" i="1" l="1"/>
  <c r="G529" i="1" l="1"/>
  <c r="H529" i="1" s="1"/>
  <c r="F530" i="1" l="1"/>
  <c r="G530" i="1" l="1"/>
  <c r="H530" i="1" s="1"/>
  <c r="F531" i="1" l="1"/>
  <c r="G531" i="1" s="1"/>
  <c r="H531" i="1" l="1"/>
  <c r="F532" i="1"/>
  <c r="G532" i="1" s="1"/>
  <c r="H532" i="1" s="1"/>
  <c r="F533" i="1" l="1"/>
  <c r="G533" i="1" s="1"/>
  <c r="H533" i="1" s="1"/>
  <c r="F534" i="1" l="1"/>
  <c r="G534" i="1" s="1"/>
  <c r="F535" i="1" l="1"/>
  <c r="H534" i="1"/>
  <c r="G535" i="1" l="1"/>
  <c r="H535" i="1" s="1"/>
  <c r="F536" i="1" l="1"/>
  <c r="G536" i="1" s="1"/>
  <c r="H536" i="1" l="1"/>
  <c r="F537" i="1"/>
  <c r="G537" i="1" s="1"/>
  <c r="H537" i="1" s="1"/>
  <c r="F538" i="1" l="1"/>
  <c r="G538" i="1" l="1"/>
  <c r="H538" i="1" s="1"/>
  <c r="F539" i="1" l="1"/>
  <c r="G539" i="1" l="1"/>
  <c r="H539" i="1" s="1"/>
  <c r="F540" i="1" l="1"/>
  <c r="G540" i="1" s="1"/>
  <c r="H540" i="1" l="1"/>
  <c r="F541" i="1"/>
  <c r="G541" i="1" s="1"/>
  <c r="H541" i="1" l="1"/>
  <c r="F542" i="1"/>
  <c r="G542" i="1" s="1"/>
  <c r="H542" i="1" s="1"/>
  <c r="F543" i="1" l="1"/>
  <c r="G543" i="1" l="1"/>
  <c r="H543" i="1" s="1"/>
  <c r="F544" i="1" l="1"/>
  <c r="G544" i="1" l="1"/>
  <c r="H544" i="1" s="1"/>
  <c r="F545" i="1" l="1"/>
  <c r="G545" i="1" s="1"/>
  <c r="H545" i="1" s="1"/>
  <c r="F546" i="1" l="1"/>
  <c r="G546" i="1" l="1"/>
  <c r="H546" i="1" s="1"/>
  <c r="F547" i="1" l="1"/>
  <c r="G547" i="1" s="1"/>
  <c r="H547" i="1" s="1"/>
  <c r="F548" i="1" l="1"/>
  <c r="G548" i="1" s="1"/>
  <c r="H548" i="1" s="1"/>
  <c r="F549" i="1" l="1"/>
  <c r="G549" i="1" l="1"/>
  <c r="H549" i="1" s="1"/>
  <c r="F550" i="1" l="1"/>
  <c r="G550" i="1" l="1"/>
  <c r="H550" i="1" s="1"/>
  <c r="F551" i="1" l="1"/>
  <c r="G551" i="1" l="1"/>
  <c r="H551" i="1" s="1"/>
  <c r="F552" i="1" l="1"/>
  <c r="G552" i="1" s="1"/>
  <c r="H552" i="1" l="1"/>
  <c r="F553" i="1"/>
  <c r="G553" i="1" s="1"/>
  <c r="H553" i="1" l="1"/>
  <c r="F554" i="1"/>
  <c r="G554" i="1" s="1"/>
  <c r="F555" i="1" s="1"/>
  <c r="H554" i="1" l="1"/>
  <c r="G555" i="1"/>
  <c r="H555" i="1" s="1"/>
  <c r="F556" i="1" l="1"/>
  <c r="G556" i="1" l="1"/>
  <c r="H556" i="1" s="1"/>
  <c r="F557" i="1" l="1"/>
  <c r="G557" i="1" l="1"/>
  <c r="H557" i="1" s="1"/>
  <c r="F558" i="1" l="1"/>
  <c r="G558" i="1" s="1"/>
  <c r="H558" i="1" s="1"/>
  <c r="F559" i="1" l="1"/>
  <c r="G559" i="1" s="1"/>
  <c r="H559" i="1" s="1"/>
  <c r="F560" i="1" l="1"/>
  <c r="G560" i="1" l="1"/>
  <c r="H560" i="1" s="1"/>
  <c r="F561" i="1" l="1"/>
  <c r="G561" i="1" l="1"/>
  <c r="H561" i="1" s="1"/>
  <c r="F562" i="1" l="1"/>
  <c r="G562" i="1" l="1"/>
  <c r="H562" i="1" s="1"/>
  <c r="F563" i="1" l="1"/>
  <c r="G563" i="1" l="1"/>
  <c r="H563" i="1" s="1"/>
  <c r="F564" i="1" l="1"/>
  <c r="G564" i="1" l="1"/>
  <c r="H564" i="1" s="1"/>
  <c r="F565" i="1" l="1"/>
  <c r="G565" i="1" l="1"/>
  <c r="H565" i="1" s="1"/>
  <c r="F566" i="1" l="1"/>
  <c r="G566" i="1" l="1"/>
  <c r="H566" i="1" s="1"/>
  <c r="F567" i="1" l="1"/>
  <c r="G567" i="1" s="1"/>
  <c r="H567" i="1" s="1"/>
  <c r="F568" i="1" l="1"/>
  <c r="G568" i="1" l="1"/>
  <c r="H568" i="1" s="1"/>
  <c r="F569" i="1" l="1"/>
  <c r="G569" i="1" s="1"/>
  <c r="H569" i="1" s="1"/>
  <c r="F570" i="1" l="1"/>
  <c r="G570" i="1" l="1"/>
  <c r="H570" i="1" s="1"/>
  <c r="F571" i="1" l="1"/>
  <c r="G571" i="1" s="1"/>
  <c r="H571" i="1" s="1"/>
  <c r="F572" i="1" l="1"/>
  <c r="G572" i="1" l="1"/>
  <c r="H572" i="1" s="1"/>
  <c r="F573" i="1" l="1"/>
  <c r="G573" i="1" s="1"/>
  <c r="H573" i="1" s="1"/>
  <c r="F574" i="1" l="1"/>
  <c r="G574" i="1" s="1"/>
  <c r="H574" i="1" s="1"/>
  <c r="F575" i="1" l="1"/>
  <c r="G575" i="1" l="1"/>
  <c r="H575" i="1" s="1"/>
  <c r="F576" i="1" l="1"/>
  <c r="G576" i="1" l="1"/>
  <c r="H576" i="1" s="1"/>
  <c r="F577" i="1" l="1"/>
  <c r="G577" i="1" s="1"/>
  <c r="H577" i="1" s="1"/>
  <c r="F578" i="1" l="1"/>
  <c r="G578" i="1" s="1"/>
  <c r="H578" i="1" s="1"/>
  <c r="F579" i="1" l="1"/>
  <c r="G579" i="1" l="1"/>
  <c r="H579" i="1" s="1"/>
  <c r="F580" i="1" l="1"/>
  <c r="G580" i="1" l="1"/>
  <c r="H580" i="1" s="1"/>
  <c r="F581" i="1" l="1"/>
  <c r="G581" i="1" l="1"/>
  <c r="H581" i="1" s="1"/>
  <c r="F582" i="1" l="1"/>
  <c r="G582" i="1" l="1"/>
  <c r="H582" i="1" s="1"/>
  <c r="F583" i="1" l="1"/>
  <c r="G583" i="1" s="1"/>
  <c r="H583" i="1" s="1"/>
  <c r="F584" i="1" l="1"/>
  <c r="G584" i="1" s="1"/>
  <c r="H584" i="1" s="1"/>
  <c r="F585" i="1" l="1"/>
  <c r="G585" i="1" s="1"/>
  <c r="H585" i="1" s="1"/>
  <c r="F586" i="1" l="1"/>
  <c r="G586" i="1" l="1"/>
  <c r="H586" i="1" s="1"/>
  <c r="F587" i="1" l="1"/>
  <c r="G587" i="1" l="1"/>
  <c r="H587" i="1" s="1"/>
  <c r="F588" i="1" l="1"/>
  <c r="G588" i="1" l="1"/>
  <c r="H588" i="1" s="1"/>
  <c r="F589" i="1" l="1"/>
  <c r="G589" i="1" l="1"/>
  <c r="H589" i="1" s="1"/>
  <c r="F590" i="1" l="1"/>
  <c r="G590" i="1" s="1"/>
  <c r="H590" i="1" s="1"/>
  <c r="F591" i="1" l="1"/>
  <c r="G591" i="1" l="1"/>
  <c r="H591" i="1" s="1"/>
  <c r="F592" i="1" l="1"/>
  <c r="G592" i="1" s="1"/>
  <c r="F593" i="1" s="1"/>
  <c r="H592" i="1" l="1"/>
  <c r="G593" i="1"/>
  <c r="H593" i="1" s="1"/>
  <c r="F594" i="1" l="1"/>
  <c r="G594" i="1" s="1"/>
  <c r="H594" i="1" s="1"/>
  <c r="F595" i="1" l="1"/>
  <c r="G595" i="1" s="1"/>
  <c r="H595" i="1" s="1"/>
  <c r="F596" i="1" l="1"/>
  <c r="G596" i="1" s="1"/>
  <c r="H596" i="1" s="1"/>
  <c r="F597" i="1" l="1"/>
  <c r="G597" i="1" s="1"/>
  <c r="H597" i="1" s="1"/>
  <c r="F598" i="1" l="1"/>
  <c r="G598" i="1" l="1"/>
  <c r="H598" i="1" s="1"/>
  <c r="F599" i="1" l="1"/>
  <c r="G599" i="1" l="1"/>
  <c r="H599" i="1" s="1"/>
  <c r="F600" i="1" l="1"/>
  <c r="G600" i="1" l="1"/>
  <c r="H600" i="1" s="1"/>
  <c r="F601" i="1" l="1"/>
  <c r="G601" i="1" l="1"/>
  <c r="H601" i="1" s="1"/>
  <c r="F602" i="1" l="1"/>
  <c r="G602" i="1" l="1"/>
  <c r="H602" i="1" s="1"/>
  <c r="F603" i="1" l="1"/>
  <c r="G603" i="1" l="1"/>
  <c r="H603" i="1" s="1"/>
  <c r="F604" i="1" l="1"/>
  <c r="G604" i="1" l="1"/>
  <c r="H604" i="1" s="1"/>
  <c r="F605" i="1" l="1"/>
  <c r="G605" i="1" l="1"/>
  <c r="H605" i="1" s="1"/>
  <c r="F606" i="1" l="1"/>
  <c r="G606" i="1" l="1"/>
  <c r="H606" i="1" s="1"/>
  <c r="F607" i="1" l="1"/>
  <c r="G607" i="1" l="1"/>
  <c r="H607" i="1" s="1"/>
  <c r="F608" i="1" l="1"/>
  <c r="G608" i="1" l="1"/>
  <c r="H608" i="1" s="1"/>
  <c r="F609" i="1" l="1"/>
  <c r="G609" i="1" s="1"/>
  <c r="H609" i="1" s="1"/>
  <c r="F610" i="1" l="1"/>
  <c r="G610" i="1" l="1"/>
  <c r="H610" i="1" s="1"/>
  <c r="F611" i="1" l="1"/>
  <c r="G611" i="1" l="1"/>
  <c r="H611" i="1" s="1"/>
  <c r="F612" i="1" l="1"/>
  <c r="G612" i="1" s="1"/>
  <c r="F613" i="1" l="1"/>
  <c r="H612" i="1"/>
  <c r="G613" i="1" l="1"/>
  <c r="H613" i="1" s="1"/>
  <c r="F614" i="1" l="1"/>
  <c r="G614" i="1" l="1"/>
  <c r="H614" i="1" s="1"/>
  <c r="F615" i="1" l="1"/>
  <c r="G615" i="1" l="1"/>
  <c r="H615" i="1" s="1"/>
  <c r="F616" i="1" l="1"/>
  <c r="G616" i="1" l="1"/>
  <c r="H616" i="1" s="1"/>
  <c r="F617" i="1" l="1"/>
  <c r="G617" i="1" l="1"/>
  <c r="H617" i="1" s="1"/>
  <c r="F618" i="1" l="1"/>
  <c r="G618" i="1" l="1"/>
  <c r="H618" i="1" s="1"/>
  <c r="F619" i="1" l="1"/>
  <c r="G619" i="1" l="1"/>
  <c r="H619" i="1" s="1"/>
  <c r="F620" i="1" l="1"/>
  <c r="G620" i="1" l="1"/>
  <c r="H620" i="1" s="1"/>
  <c r="F621" i="1" l="1"/>
  <c r="G621" i="1" l="1"/>
  <c r="H621" i="1" s="1"/>
  <c r="F622" i="1" l="1"/>
  <c r="G622" i="1" l="1"/>
  <c r="H622" i="1" s="1"/>
  <c r="F623" i="1" l="1"/>
  <c r="G623" i="1" l="1"/>
  <c r="H623" i="1" s="1"/>
  <c r="F624" i="1" l="1"/>
  <c r="G624" i="1" l="1"/>
  <c r="H624" i="1" s="1"/>
  <c r="F625" i="1" l="1"/>
  <c r="G625" i="1" l="1"/>
  <c r="H625" i="1" s="1"/>
  <c r="F626" i="1" l="1"/>
  <c r="G626" i="1" l="1"/>
  <c r="H626" i="1" s="1"/>
  <c r="F627" i="1" l="1"/>
  <c r="G627" i="1" l="1"/>
  <c r="H627" i="1" s="1"/>
  <c r="F628" i="1" l="1"/>
  <c r="G628" i="1" l="1"/>
  <c r="H628" i="1" s="1"/>
  <c r="F629" i="1" l="1"/>
  <c r="G629" i="1" l="1"/>
  <c r="H629" i="1" s="1"/>
  <c r="F630" i="1" l="1"/>
  <c r="G630" i="1" l="1"/>
  <c r="H630" i="1" s="1"/>
  <c r="F631" i="1" l="1"/>
  <c r="G631" i="1" s="1"/>
  <c r="F632" i="1" l="1"/>
  <c r="H631" i="1"/>
  <c r="G632" i="1" l="1"/>
  <c r="H632" i="1" s="1"/>
  <c r="F633" i="1" l="1"/>
  <c r="G633" i="1" l="1"/>
  <c r="H633" i="1" s="1"/>
  <c r="F634" i="1" l="1"/>
  <c r="G634" i="1" l="1"/>
  <c r="H634" i="1" s="1"/>
  <c r="F635" i="1" l="1"/>
  <c r="G635" i="1" l="1"/>
  <c r="H635" i="1" s="1"/>
  <c r="F636" i="1" l="1"/>
  <c r="G636" i="1" l="1"/>
  <c r="H636" i="1" s="1"/>
  <c r="F637" i="1" l="1"/>
  <c r="G637" i="1" l="1"/>
  <c r="H637" i="1" s="1"/>
  <c r="F638" i="1" l="1"/>
  <c r="G638" i="1" s="1"/>
  <c r="H638" i="1" s="1"/>
  <c r="F639" i="1" l="1"/>
  <c r="G639" i="1" l="1"/>
  <c r="H639" i="1" s="1"/>
  <c r="F640" i="1" l="1"/>
  <c r="G640" i="1" l="1"/>
  <c r="H640" i="1" s="1"/>
  <c r="F641" i="1" l="1"/>
  <c r="G641" i="1" l="1"/>
  <c r="H641" i="1" s="1"/>
  <c r="F642" i="1" l="1"/>
  <c r="G642" i="1" l="1"/>
  <c r="H642" i="1" s="1"/>
  <c r="F643" i="1" l="1"/>
  <c r="G643" i="1" s="1"/>
  <c r="H643" i="1" s="1"/>
  <c r="F644" i="1" l="1"/>
  <c r="G644" i="1" l="1"/>
  <c r="H644" i="1" s="1"/>
  <c r="F645" i="1" l="1"/>
  <c r="G645" i="1" l="1"/>
  <c r="H645" i="1" s="1"/>
  <c r="F646" i="1" l="1"/>
  <c r="G646" i="1" l="1"/>
  <c r="H646" i="1" s="1"/>
  <c r="F647" i="1" l="1"/>
  <c r="G647" i="1" l="1"/>
  <c r="H647" i="1" s="1"/>
  <c r="F648" i="1" l="1"/>
  <c r="G648" i="1" l="1"/>
  <c r="H648" i="1" s="1"/>
  <c r="F649" i="1" l="1"/>
  <c r="G649" i="1" s="1"/>
  <c r="F650" i="1" l="1"/>
  <c r="H649" i="1"/>
  <c r="G650" i="1" l="1"/>
  <c r="H650" i="1" s="1"/>
  <c r="F651" i="1" l="1"/>
  <c r="G651" i="1" l="1"/>
  <c r="H651" i="1" s="1"/>
  <c r="F652" i="1" l="1"/>
  <c r="G652" i="1" l="1"/>
  <c r="H652" i="1" s="1"/>
  <c r="F653" i="1" l="1"/>
  <c r="G653" i="1" l="1"/>
  <c r="H653" i="1" s="1"/>
  <c r="F654" i="1" l="1"/>
  <c r="G654" i="1" s="1"/>
  <c r="H654" i="1" s="1"/>
  <c r="F655" i="1" l="1"/>
  <c r="G655" i="1" l="1"/>
  <c r="H655" i="1" s="1"/>
  <c r="F656" i="1" l="1"/>
  <c r="G656" i="1" l="1"/>
  <c r="H656" i="1" s="1"/>
  <c r="F657" i="1" l="1"/>
  <c r="G657" i="1" l="1"/>
  <c r="H657" i="1" s="1"/>
  <c r="F658" i="1" l="1"/>
  <c r="G658" i="1" s="1"/>
  <c r="H658" i="1" s="1"/>
  <c r="F659" i="1" l="1"/>
  <c r="G659" i="1" s="1"/>
  <c r="H659" i="1" s="1"/>
  <c r="F660" i="1" l="1"/>
  <c r="G660" i="1" s="1"/>
  <c r="H660" i="1" s="1"/>
  <c r="F661" i="1" l="1"/>
  <c r="G661" i="1" l="1"/>
  <c r="H661" i="1" s="1"/>
  <c r="F662" i="1" l="1"/>
  <c r="G662" i="1" s="1"/>
  <c r="H662" i="1" s="1"/>
  <c r="F663" i="1" l="1"/>
  <c r="G663" i="1" s="1"/>
  <c r="H663" i="1" s="1"/>
  <c r="F664" i="1" l="1"/>
  <c r="G664" i="1" l="1"/>
  <c r="H664" i="1" s="1"/>
  <c r="F665" i="1" l="1"/>
  <c r="G665" i="1" s="1"/>
  <c r="H665" i="1" s="1"/>
  <c r="F666" i="1" l="1"/>
  <c r="G666" i="1" l="1"/>
  <c r="H666" i="1" s="1"/>
  <c r="F667" i="1" l="1"/>
  <c r="G667" i="1" s="1"/>
  <c r="F668" i="1" l="1"/>
  <c r="H667" i="1"/>
  <c r="G668" i="1" l="1"/>
  <c r="H668" i="1" s="1"/>
  <c r="F669" i="1" l="1"/>
  <c r="G669" i="1" s="1"/>
  <c r="H669" i="1" s="1"/>
  <c r="F670" i="1" l="1"/>
  <c r="G670" i="1" s="1"/>
  <c r="H670" i="1" s="1"/>
  <c r="F671" i="1" l="1"/>
  <c r="G671" i="1" l="1"/>
  <c r="H671" i="1" s="1"/>
  <c r="F672" i="1" l="1"/>
  <c r="G672" i="1" l="1"/>
  <c r="H672" i="1" s="1"/>
  <c r="F673" i="1" l="1"/>
  <c r="G673" i="1" l="1"/>
  <c r="H673" i="1" s="1"/>
  <c r="F674" i="1" l="1"/>
  <c r="G674" i="1" l="1"/>
  <c r="H674" i="1" s="1"/>
  <c r="F675" i="1" l="1"/>
  <c r="G675" i="1" l="1"/>
  <c r="H675" i="1" s="1"/>
  <c r="F676" i="1" l="1"/>
  <c r="G676" i="1" l="1"/>
  <c r="H676" i="1" s="1"/>
  <c r="F677" i="1" l="1"/>
  <c r="G677" i="1" l="1"/>
  <c r="H677" i="1" s="1"/>
  <c r="F678" i="1" l="1"/>
  <c r="G678" i="1" l="1"/>
  <c r="H678" i="1" s="1"/>
  <c r="F679" i="1" l="1"/>
  <c r="G679" i="1" l="1"/>
  <c r="H679" i="1" s="1"/>
  <c r="F680" i="1" l="1"/>
  <c r="G680" i="1" l="1"/>
  <c r="H680" i="1" s="1"/>
  <c r="F681" i="1" l="1"/>
  <c r="G681" i="1" l="1"/>
  <c r="H681" i="1" s="1"/>
  <c r="F682" i="1" l="1"/>
  <c r="G682" i="1" l="1"/>
  <c r="H682" i="1" s="1"/>
  <c r="F683" i="1" l="1"/>
  <c r="G683" i="1" l="1"/>
  <c r="H683" i="1" s="1"/>
  <c r="F684" i="1" l="1"/>
  <c r="G684" i="1" s="1"/>
  <c r="F685" i="1" l="1"/>
  <c r="H684" i="1"/>
  <c r="G685" i="1" l="1"/>
  <c r="H685" i="1" s="1"/>
  <c r="F686" i="1" l="1"/>
  <c r="G686" i="1" l="1"/>
  <c r="H686" i="1" s="1"/>
  <c r="F687" i="1" l="1"/>
  <c r="G687" i="1" l="1"/>
  <c r="H687" i="1" s="1"/>
  <c r="F688" i="1" l="1"/>
  <c r="G688" i="1" l="1"/>
  <c r="H688" i="1" s="1"/>
  <c r="F689" i="1" l="1"/>
  <c r="G689" i="1" l="1"/>
  <c r="H689" i="1" s="1"/>
  <c r="F690" i="1" l="1"/>
  <c r="G690" i="1" l="1"/>
  <c r="H690" i="1" s="1"/>
  <c r="F691" i="1" l="1"/>
  <c r="G691" i="1" l="1"/>
  <c r="H691" i="1" s="1"/>
  <c r="F692" i="1" l="1"/>
  <c r="G692" i="1" l="1"/>
  <c r="H692" i="1" s="1"/>
  <c r="F693" i="1" l="1"/>
  <c r="G693" i="1" l="1"/>
  <c r="H693" i="1" s="1"/>
  <c r="F694" i="1" l="1"/>
  <c r="G694" i="1" l="1"/>
  <c r="H694" i="1" s="1"/>
  <c r="F695" i="1" l="1"/>
  <c r="G695" i="1" l="1"/>
  <c r="H695" i="1" s="1"/>
  <c r="F696" i="1" l="1"/>
  <c r="G696" i="1" l="1"/>
  <c r="H696" i="1" s="1"/>
  <c r="F697" i="1" l="1"/>
  <c r="G697" i="1" l="1"/>
  <c r="H697" i="1" s="1"/>
  <c r="F698" i="1" l="1"/>
  <c r="G698" i="1" l="1"/>
  <c r="H698" i="1" s="1"/>
  <c r="F699" i="1" l="1"/>
  <c r="G699" i="1" l="1"/>
  <c r="H699" i="1" s="1"/>
  <c r="F700" i="1" l="1"/>
  <c r="G700" i="1" l="1"/>
  <c r="H700" i="1" s="1"/>
  <c r="F701" i="1" l="1"/>
  <c r="G701" i="1" s="1"/>
  <c r="F702" i="1" s="1"/>
  <c r="H701" i="1" l="1"/>
  <c r="G702" i="1"/>
  <c r="H702" i="1" s="1"/>
  <c r="F703" i="1" l="1"/>
  <c r="G703" i="1" s="1"/>
  <c r="H703" i="1" s="1"/>
  <c r="F704" i="1" l="1"/>
  <c r="G704" i="1" s="1"/>
  <c r="H704" i="1" s="1"/>
  <c r="F705" i="1" l="1"/>
  <c r="G705" i="1" l="1"/>
  <c r="H705" i="1" s="1"/>
  <c r="F706" i="1" l="1"/>
  <c r="G706" i="1" l="1"/>
  <c r="H706" i="1" s="1"/>
  <c r="F707" i="1" l="1"/>
  <c r="G707" i="1" l="1"/>
  <c r="H707" i="1" s="1"/>
  <c r="F708" i="1" l="1"/>
  <c r="G708" i="1" l="1"/>
  <c r="H708" i="1" s="1"/>
  <c r="F709" i="1" l="1"/>
  <c r="G709" i="1" l="1"/>
  <c r="H709" i="1" s="1"/>
  <c r="F710" i="1" l="1"/>
  <c r="G710" i="1" l="1"/>
  <c r="H710" i="1" s="1"/>
  <c r="F711" i="1" l="1"/>
  <c r="G711" i="1" l="1"/>
  <c r="H711" i="1" s="1"/>
  <c r="F712" i="1" l="1"/>
  <c r="G712" i="1" s="1"/>
  <c r="H712" i="1" s="1"/>
  <c r="F713" i="1" l="1"/>
  <c r="G713" i="1" s="1"/>
  <c r="H713" i="1" l="1"/>
  <c r="F714" i="1"/>
  <c r="G714" i="1" s="1"/>
  <c r="H714" i="1" s="1"/>
  <c r="F715" i="1" l="1"/>
  <c r="G715" i="1" s="1"/>
  <c r="H715" i="1" s="1"/>
  <c r="F716" i="1" l="1"/>
  <c r="G716" i="1" l="1"/>
  <c r="H716" i="1" s="1"/>
  <c r="F717" i="1" l="1"/>
  <c r="G717" i="1" s="1"/>
  <c r="F718" i="1" l="1"/>
  <c r="H717" i="1"/>
  <c r="G718" i="1" l="1"/>
  <c r="H718" i="1" s="1"/>
  <c r="F719" i="1" l="1"/>
  <c r="G719" i="1" l="1"/>
  <c r="H719" i="1" s="1"/>
  <c r="F720" i="1" l="1"/>
  <c r="G720" i="1" l="1"/>
  <c r="H720" i="1" s="1"/>
  <c r="F721" i="1" l="1"/>
  <c r="G721" i="1" s="1"/>
  <c r="H721" i="1" s="1"/>
  <c r="F722" i="1" l="1"/>
  <c r="G722" i="1" s="1"/>
  <c r="H722" i="1" s="1"/>
  <c r="F723" i="1" l="1"/>
  <c r="G723" i="1" l="1"/>
  <c r="H723" i="1" s="1"/>
  <c r="F724" i="1" l="1"/>
  <c r="G724" i="1" l="1"/>
  <c r="H724" i="1" s="1"/>
  <c r="F725" i="1" l="1"/>
  <c r="G725" i="1" l="1"/>
  <c r="H725" i="1" s="1"/>
  <c r="F726" i="1" l="1"/>
  <c r="G726" i="1" l="1"/>
  <c r="H726" i="1" s="1"/>
  <c r="F727" i="1" l="1"/>
  <c r="G727" i="1" l="1"/>
  <c r="H727" i="1" s="1"/>
  <c r="F728" i="1" l="1"/>
  <c r="G728" i="1" l="1"/>
  <c r="H728" i="1" s="1"/>
  <c r="F729" i="1" l="1"/>
  <c r="G729" i="1" l="1"/>
  <c r="H729" i="1" s="1"/>
  <c r="F730" i="1" l="1"/>
  <c r="G730" i="1" s="1"/>
  <c r="H730" i="1" s="1"/>
  <c r="F731" i="1" l="1"/>
  <c r="G731" i="1" s="1"/>
  <c r="H731" i="1" s="1"/>
  <c r="F732" i="1" l="1"/>
  <c r="G732" i="1" l="1"/>
  <c r="H732" i="1" s="1"/>
  <c r="F733" i="1" l="1"/>
  <c r="G733" i="1" l="1"/>
  <c r="H733" i="1" s="1"/>
  <c r="F734" i="1" l="1"/>
  <c r="G734" i="1" s="1"/>
  <c r="F735" i="1" s="1"/>
  <c r="H734" i="1" l="1"/>
  <c r="G735" i="1"/>
  <c r="H735" i="1" s="1"/>
  <c r="F736" i="1" l="1"/>
  <c r="G736" i="1" s="1"/>
  <c r="H736" i="1" s="1"/>
  <c r="F737" i="1" l="1"/>
  <c r="G737" i="1" l="1"/>
  <c r="H737" i="1" s="1"/>
  <c r="F738" i="1" l="1"/>
  <c r="G738" i="1" s="1"/>
  <c r="H738" i="1" s="1"/>
  <c r="F739" i="1" l="1"/>
  <c r="G739" i="1" l="1"/>
  <c r="H739" i="1" s="1"/>
  <c r="F740" i="1" l="1"/>
  <c r="G740" i="1" s="1"/>
  <c r="H740" i="1" s="1"/>
  <c r="F741" i="1" l="1"/>
  <c r="G741" i="1" l="1"/>
  <c r="H741" i="1" s="1"/>
  <c r="F742" i="1" l="1"/>
  <c r="G742" i="1" l="1"/>
  <c r="H742" i="1" s="1"/>
  <c r="F743" i="1" l="1"/>
  <c r="G743" i="1" l="1"/>
  <c r="H743" i="1" s="1"/>
  <c r="F744" i="1" l="1"/>
  <c r="G744" i="1" l="1"/>
  <c r="H744" i="1" s="1"/>
  <c r="F745" i="1" l="1"/>
  <c r="G745" i="1" l="1"/>
  <c r="H745" i="1" s="1"/>
  <c r="F746" i="1" l="1"/>
  <c r="G746" i="1" l="1"/>
  <c r="H746" i="1" s="1"/>
  <c r="F747" i="1" l="1"/>
  <c r="G747" i="1" l="1"/>
  <c r="H747" i="1" s="1"/>
  <c r="F748" i="1" l="1"/>
  <c r="G748" i="1" l="1"/>
  <c r="H748" i="1" s="1"/>
  <c r="F749" i="1" l="1"/>
  <c r="G749" i="1" s="1"/>
  <c r="H749" i="1" s="1"/>
  <c r="F750" i="1" l="1"/>
  <c r="G750" i="1" s="1"/>
  <c r="F751" i="1" l="1"/>
  <c r="H750" i="1"/>
  <c r="G751" i="1" l="1"/>
  <c r="H751" i="1" s="1"/>
  <c r="F752" i="1" l="1"/>
  <c r="G752" i="1" s="1"/>
  <c r="H752" i="1" s="1"/>
  <c r="F753" i="1" l="1"/>
  <c r="G753" i="1" l="1"/>
  <c r="H753" i="1" s="1"/>
  <c r="F754" i="1" l="1"/>
  <c r="G754" i="1" l="1"/>
  <c r="H754" i="1" s="1"/>
  <c r="F755" i="1" l="1"/>
  <c r="G755" i="1" s="1"/>
  <c r="H755" i="1" l="1"/>
  <c r="F756" i="1"/>
  <c r="G756" i="1" s="1"/>
  <c r="H756" i="1" s="1"/>
  <c r="F757" i="1" l="1"/>
  <c r="G757" i="1" l="1"/>
  <c r="H757" i="1" s="1"/>
  <c r="F758" i="1" l="1"/>
  <c r="G758" i="1" l="1"/>
  <c r="H758" i="1" s="1"/>
  <c r="F759" i="1" l="1"/>
  <c r="G759" i="1" l="1"/>
  <c r="H759" i="1" s="1"/>
  <c r="F760" i="1" l="1"/>
  <c r="G760" i="1" l="1"/>
  <c r="H760" i="1" s="1"/>
  <c r="F761" i="1" l="1"/>
  <c r="G761" i="1" l="1"/>
  <c r="H761" i="1" s="1"/>
  <c r="F762" i="1" l="1"/>
  <c r="G762" i="1" l="1"/>
  <c r="H762" i="1" s="1"/>
  <c r="F763" i="1" l="1"/>
  <c r="G763" i="1" s="1"/>
  <c r="H763" i="1" s="1"/>
  <c r="F764" i="1" l="1"/>
  <c r="G764" i="1" s="1"/>
  <c r="H764" i="1" s="1"/>
  <c r="F765" i="1" l="1"/>
  <c r="G765" i="1" s="1"/>
  <c r="H765" i="1" l="1"/>
  <c r="F766" i="1"/>
  <c r="G766" i="1" s="1"/>
  <c r="F767" i="1" s="1"/>
  <c r="H766" i="1" l="1"/>
  <c r="G767" i="1"/>
  <c r="H767" i="1" s="1"/>
  <c r="F768" i="1" l="1"/>
  <c r="G768" i="1" s="1"/>
  <c r="H768" i="1" l="1"/>
  <c r="F769" i="1"/>
  <c r="G769" i="1" s="1"/>
  <c r="H769" i="1" s="1"/>
  <c r="F770" i="1" l="1"/>
  <c r="G770" i="1" s="1"/>
  <c r="H770" i="1" s="1"/>
  <c r="F771" i="1" l="1"/>
  <c r="G771" i="1" s="1"/>
  <c r="H771" i="1" s="1"/>
  <c r="F772" i="1" l="1"/>
  <c r="G772" i="1" l="1"/>
  <c r="H772" i="1" s="1"/>
  <c r="F773" i="1" l="1"/>
  <c r="G773" i="1" s="1"/>
  <c r="H773" i="1" s="1"/>
  <c r="F774" i="1" l="1"/>
  <c r="G774" i="1" s="1"/>
  <c r="H774" i="1" s="1"/>
  <c r="F775" i="1" l="1"/>
  <c r="G775" i="1" l="1"/>
  <c r="H775" i="1" s="1"/>
  <c r="F776" i="1" l="1"/>
  <c r="G776" i="1" l="1"/>
  <c r="H776" i="1" s="1"/>
  <c r="F777" i="1" l="1"/>
  <c r="G777" i="1" l="1"/>
  <c r="H777" i="1" s="1"/>
  <c r="F778" i="1" l="1"/>
  <c r="G778" i="1" s="1"/>
  <c r="H778" i="1" s="1"/>
  <c r="F779" i="1" l="1"/>
  <c r="G779" i="1" l="1"/>
  <c r="H779" i="1" s="1"/>
  <c r="F780" i="1" l="1"/>
  <c r="G780" i="1" s="1"/>
  <c r="H780" i="1" s="1"/>
  <c r="F781" i="1" l="1"/>
  <c r="G781" i="1" s="1"/>
  <c r="H781" i="1" l="1"/>
  <c r="F782" i="1"/>
  <c r="G782" i="1" s="1"/>
  <c r="H782" i="1" s="1"/>
  <c r="F783" i="1" l="1"/>
  <c r="G783" i="1" s="1"/>
  <c r="F784" i="1" l="1"/>
  <c r="H783" i="1"/>
  <c r="G784" i="1" l="1"/>
  <c r="H784" i="1" s="1"/>
  <c r="F785" i="1" l="1"/>
  <c r="G785" i="1" s="1"/>
  <c r="H785" i="1" s="1"/>
  <c r="F786" i="1" l="1"/>
  <c r="G786" i="1" s="1"/>
  <c r="H786" i="1" s="1"/>
  <c r="F787" i="1" l="1"/>
  <c r="G787" i="1" l="1"/>
  <c r="H787" i="1" s="1"/>
  <c r="F788" i="1" l="1"/>
  <c r="G788" i="1" l="1"/>
  <c r="H788" i="1" s="1"/>
  <c r="F789" i="1" l="1"/>
  <c r="G789" i="1" l="1"/>
  <c r="H789" i="1" s="1"/>
  <c r="F790" i="1" l="1"/>
  <c r="G790" i="1" l="1"/>
  <c r="H790" i="1" s="1"/>
  <c r="F791" i="1" l="1"/>
  <c r="G791" i="1" l="1"/>
  <c r="H791" i="1" s="1"/>
  <c r="F792" i="1" l="1"/>
  <c r="G792" i="1" l="1"/>
  <c r="H792" i="1" s="1"/>
  <c r="F793" i="1" l="1"/>
  <c r="G793" i="1" l="1"/>
  <c r="H793" i="1" s="1"/>
  <c r="F794" i="1" l="1"/>
  <c r="G794" i="1" l="1"/>
  <c r="H794" i="1" s="1"/>
  <c r="F795" i="1" l="1"/>
  <c r="G795" i="1" l="1"/>
  <c r="H795" i="1" s="1"/>
  <c r="F796" i="1" l="1"/>
  <c r="G796" i="1" s="1"/>
  <c r="H796" i="1" s="1"/>
  <c r="F797" i="1" l="1"/>
  <c r="G797" i="1" s="1"/>
  <c r="H797" i="1" l="1"/>
  <c r="F798" i="1"/>
  <c r="G798" i="1" s="1"/>
  <c r="H798" i="1" s="1"/>
  <c r="F799" i="1" l="1"/>
  <c r="G799" i="1" s="1"/>
  <c r="H799" i="1" l="1"/>
  <c r="F800" i="1"/>
  <c r="G800" i="1" s="1"/>
  <c r="F801" i="1" s="1"/>
  <c r="H800" i="1" l="1"/>
  <c r="G801" i="1"/>
  <c r="H801" i="1" s="1"/>
  <c r="F802" i="1" l="1"/>
  <c r="G802" i="1" s="1"/>
  <c r="H802" i="1" s="1"/>
  <c r="F803" i="1" l="1"/>
  <c r="G803" i="1" s="1"/>
  <c r="H803" i="1" l="1"/>
  <c r="F804" i="1"/>
  <c r="G804" i="1" s="1"/>
  <c r="H804" i="1" s="1"/>
  <c r="F805" i="1" l="1"/>
  <c r="G805" i="1" l="1"/>
  <c r="H805" i="1" s="1"/>
  <c r="F806" i="1" l="1"/>
  <c r="G806" i="1" l="1"/>
  <c r="H806" i="1" s="1"/>
  <c r="F807" i="1" l="1"/>
  <c r="G807" i="1" l="1"/>
  <c r="H807" i="1" s="1"/>
  <c r="F808" i="1" l="1"/>
  <c r="G808" i="1" l="1"/>
  <c r="H808" i="1" s="1"/>
  <c r="F809" i="1" l="1"/>
  <c r="G809" i="1" s="1"/>
  <c r="H809" i="1" l="1"/>
  <c r="F810" i="1"/>
  <c r="G810" i="1" s="1"/>
  <c r="H810" i="1" l="1"/>
  <c r="F811" i="1"/>
  <c r="G811" i="1" s="1"/>
  <c r="H811" i="1" s="1"/>
  <c r="F812" i="1" l="1"/>
  <c r="G812" i="1" l="1"/>
  <c r="H812" i="1" s="1"/>
  <c r="F813" i="1" l="1"/>
  <c r="G813" i="1" l="1"/>
  <c r="H813" i="1" s="1"/>
  <c r="F814" i="1" l="1"/>
  <c r="G814" i="1" l="1"/>
  <c r="H814" i="1" s="1"/>
  <c r="F815" i="1" l="1"/>
  <c r="G815" i="1" l="1"/>
  <c r="H815" i="1" s="1"/>
  <c r="F816" i="1" l="1"/>
  <c r="G816" i="1" l="1"/>
  <c r="H816" i="1" s="1"/>
  <c r="F817" i="1" l="1"/>
  <c r="G817" i="1" l="1"/>
  <c r="H817" i="1" s="1"/>
  <c r="F818" i="1" l="1"/>
  <c r="G818" i="1" s="1"/>
  <c r="H818" i="1" s="1"/>
  <c r="F819" i="1" l="1"/>
  <c r="G819" i="1" s="1"/>
  <c r="F820" i="1" s="1"/>
  <c r="H819" i="1" l="1"/>
  <c r="G820" i="1"/>
  <c r="H820" i="1" s="1"/>
  <c r="F821" i="1" l="1"/>
  <c r="G821" i="1" l="1"/>
  <c r="H821" i="1" s="1"/>
  <c r="F822" i="1" l="1"/>
  <c r="G822" i="1" s="1"/>
  <c r="H822" i="1" s="1"/>
  <c r="F823" i="1" l="1"/>
  <c r="G823" i="1" l="1"/>
  <c r="H823" i="1" s="1"/>
  <c r="F824" i="1" l="1"/>
  <c r="G824" i="1" l="1"/>
  <c r="H824" i="1" s="1"/>
  <c r="F825" i="1" l="1"/>
  <c r="G825" i="1" s="1"/>
  <c r="H825" i="1" s="1"/>
  <c r="F826" i="1" l="1"/>
  <c r="G826" i="1" l="1"/>
  <c r="H826" i="1" s="1"/>
  <c r="F827" i="1" l="1"/>
  <c r="G827" i="1" l="1"/>
  <c r="H827" i="1" s="1"/>
  <c r="F828" i="1" l="1"/>
  <c r="G828" i="1" s="1"/>
  <c r="H828" i="1" s="1"/>
  <c r="F829" i="1" l="1"/>
  <c r="G829" i="1" l="1"/>
  <c r="H829" i="1" s="1"/>
  <c r="F830" i="1" l="1"/>
  <c r="G830" i="1" l="1"/>
  <c r="H830" i="1" s="1"/>
  <c r="F831" i="1" l="1"/>
  <c r="G831" i="1" l="1"/>
  <c r="H831" i="1" s="1"/>
  <c r="F832" i="1" l="1"/>
  <c r="G832" i="1" l="1"/>
  <c r="H832" i="1" s="1"/>
  <c r="F833" i="1" l="1"/>
  <c r="G833" i="1" l="1"/>
  <c r="H833" i="1" s="1"/>
  <c r="F834" i="1" l="1"/>
  <c r="G834" i="1" l="1"/>
  <c r="H834" i="1" s="1"/>
  <c r="F835" i="1" l="1"/>
  <c r="G835" i="1" l="1"/>
  <c r="H835" i="1" s="1"/>
  <c r="F836" i="1" l="1"/>
  <c r="G836" i="1" l="1"/>
  <c r="H836" i="1" s="1"/>
  <c r="F837" i="1" l="1"/>
  <c r="G837" i="1" s="1"/>
  <c r="H837" i="1" s="1"/>
  <c r="F838" i="1" l="1"/>
  <c r="G838" i="1" s="1"/>
  <c r="F839" i="1" s="1"/>
  <c r="H838" i="1" l="1"/>
  <c r="G839" i="1"/>
  <c r="H839" i="1" s="1"/>
  <c r="F840" i="1" l="1"/>
  <c r="G840" i="1" s="1"/>
  <c r="H840" i="1" s="1"/>
  <c r="F841" i="1" l="1"/>
  <c r="G841" i="1" s="1"/>
  <c r="H841" i="1" s="1"/>
  <c r="F842" i="1" l="1"/>
  <c r="G842" i="1" s="1"/>
  <c r="H842" i="1" s="1"/>
  <c r="F843" i="1" l="1"/>
  <c r="G843" i="1" s="1"/>
  <c r="H843" i="1" s="1"/>
  <c r="F844" i="1" l="1"/>
  <c r="G844" i="1" s="1"/>
  <c r="H844" i="1" s="1"/>
  <c r="F845" i="1" l="1"/>
  <c r="G845" i="1" l="1"/>
  <c r="H845" i="1" s="1"/>
  <c r="F846" i="1" l="1"/>
  <c r="G846" i="1" s="1"/>
  <c r="H846" i="1" s="1"/>
  <c r="F847" i="1" l="1"/>
  <c r="G847" i="1" l="1"/>
  <c r="H847" i="1" s="1"/>
  <c r="F848" i="1" l="1"/>
  <c r="G848" i="1" l="1"/>
  <c r="H848" i="1" s="1"/>
  <c r="F849" i="1" l="1"/>
  <c r="G849" i="1" s="1"/>
  <c r="H849" i="1" s="1"/>
  <c r="F850" i="1" l="1"/>
  <c r="G850" i="1" l="1"/>
  <c r="H850" i="1" s="1"/>
  <c r="F851" i="1" l="1"/>
  <c r="G851" i="1" s="1"/>
  <c r="H851" i="1" s="1"/>
  <c r="F852" i="1" l="1"/>
  <c r="G852" i="1" s="1"/>
  <c r="H852" i="1" l="1"/>
  <c r="F853" i="1"/>
  <c r="G853" i="1" s="1"/>
  <c r="H853" i="1" s="1"/>
  <c r="F854" i="1" l="1"/>
  <c r="G854" i="1" s="1"/>
  <c r="H854" i="1" s="1"/>
  <c r="F855" i="1" l="1"/>
  <c r="G855" i="1" s="1"/>
  <c r="H855" i="1" l="1"/>
  <c r="F856" i="1"/>
  <c r="G856" i="1" s="1"/>
  <c r="F857" i="1" s="1"/>
  <c r="H856" i="1" l="1"/>
  <c r="G857" i="1"/>
  <c r="H857" i="1" s="1"/>
  <c r="F858" i="1" l="1"/>
  <c r="G858" i="1" s="1"/>
  <c r="H858" i="1" s="1"/>
  <c r="F859" i="1" l="1"/>
  <c r="G859" i="1" s="1"/>
  <c r="H859" i="1" s="1"/>
  <c r="F860" i="1" l="1"/>
  <c r="G860" i="1" s="1"/>
  <c r="H860" i="1" s="1"/>
  <c r="F861" i="1" l="1"/>
  <c r="G861" i="1" s="1"/>
  <c r="H861" i="1" s="1"/>
  <c r="F862" i="1" l="1"/>
  <c r="G862" i="1" s="1"/>
  <c r="H862" i="1" s="1"/>
  <c r="F863" i="1" l="1"/>
  <c r="G863" i="1" s="1"/>
  <c r="H863" i="1" s="1"/>
  <c r="F864" i="1" l="1"/>
  <c r="G864" i="1" s="1"/>
  <c r="H864" i="1" s="1"/>
  <c r="F865" i="1" l="1"/>
  <c r="G865" i="1" l="1"/>
  <c r="H865" i="1" s="1"/>
  <c r="F866" i="1" l="1"/>
  <c r="G866" i="1" l="1"/>
  <c r="H866" i="1" s="1"/>
  <c r="F867" i="1" l="1"/>
  <c r="G867" i="1" l="1"/>
  <c r="H867" i="1" s="1"/>
  <c r="F868" i="1" l="1"/>
  <c r="G868" i="1" s="1"/>
  <c r="H868" i="1" l="1"/>
  <c r="F869" i="1"/>
  <c r="G869" i="1" s="1"/>
  <c r="H869" i="1" s="1"/>
  <c r="F870" i="1" l="1"/>
  <c r="G870" i="1" s="1"/>
  <c r="H870" i="1" s="1"/>
  <c r="F871" i="1" l="1"/>
  <c r="G871" i="1" s="1"/>
  <c r="H871" i="1" s="1"/>
  <c r="F872" i="1" l="1"/>
  <c r="G872" i="1" s="1"/>
  <c r="H872" i="1" s="1"/>
  <c r="F873" i="1" l="1"/>
  <c r="G873" i="1" s="1"/>
  <c r="H873" i="1" s="1"/>
  <c r="F874" i="1" l="1"/>
  <c r="G874" i="1" s="1"/>
  <c r="H874" i="1" s="1"/>
  <c r="F875" i="1" l="1"/>
  <c r="G875" i="1" l="1"/>
  <c r="H875" i="1" s="1"/>
  <c r="F876" i="1" l="1"/>
  <c r="G876" i="1" l="1"/>
  <c r="H876" i="1" s="1"/>
  <c r="F877" i="1" l="1"/>
  <c r="G877" i="1" l="1"/>
  <c r="H877" i="1" s="1"/>
  <c r="F878" i="1" l="1"/>
  <c r="G878" i="1" l="1"/>
  <c r="H878" i="1" s="1"/>
  <c r="F879" i="1" l="1"/>
  <c r="G879" i="1" l="1"/>
  <c r="H879" i="1" s="1"/>
  <c r="F880" i="1" l="1"/>
  <c r="G880" i="1" l="1"/>
  <c r="H880" i="1" s="1"/>
  <c r="F881" i="1" l="1"/>
  <c r="G881" i="1" l="1"/>
  <c r="H881" i="1" s="1"/>
  <c r="F882" i="1" l="1"/>
  <c r="G882" i="1" l="1"/>
  <c r="H882" i="1" s="1"/>
  <c r="F883" i="1" l="1"/>
  <c r="G883" i="1" l="1"/>
  <c r="H883" i="1" s="1"/>
  <c r="F884" i="1" l="1"/>
  <c r="G884" i="1" l="1"/>
  <c r="H884" i="1" s="1"/>
  <c r="F885" i="1" l="1"/>
  <c r="G885" i="1" l="1"/>
  <c r="H885" i="1" s="1"/>
  <c r="F886" i="1" l="1"/>
  <c r="G886" i="1" l="1"/>
  <c r="H886" i="1" s="1"/>
  <c r="F887" i="1" l="1"/>
  <c r="G887" i="1" l="1"/>
  <c r="H887" i="1" s="1"/>
  <c r="F888" i="1" l="1"/>
  <c r="G888" i="1" l="1"/>
  <c r="H888" i="1" s="1"/>
  <c r="F889" i="1" l="1"/>
  <c r="G889" i="1" l="1"/>
  <c r="H889" i="1" s="1"/>
  <c r="F890" i="1" l="1"/>
  <c r="G890" i="1" l="1"/>
  <c r="H890" i="1" s="1"/>
  <c r="F891" i="1" l="1"/>
  <c r="G891" i="1" l="1"/>
  <c r="H891" i="1" s="1"/>
  <c r="F892" i="1" l="1"/>
  <c r="G892" i="1" s="1"/>
  <c r="H892" i="1" l="1"/>
  <c r="F893" i="1"/>
  <c r="G893" i="1" s="1"/>
  <c r="F894" i="1" s="1"/>
  <c r="H893" i="1" l="1"/>
  <c r="G894" i="1"/>
  <c r="H894" i="1" s="1"/>
  <c r="F895" i="1" l="1"/>
  <c r="G895" i="1" l="1"/>
  <c r="H895" i="1" s="1"/>
  <c r="F896" i="1" l="1"/>
  <c r="G896" i="1" l="1"/>
  <c r="H896" i="1" s="1"/>
  <c r="F897" i="1" l="1"/>
  <c r="G897" i="1" l="1"/>
  <c r="H897" i="1" s="1"/>
  <c r="F898" i="1" l="1"/>
  <c r="G898" i="1" l="1"/>
  <c r="H898" i="1" s="1"/>
  <c r="F899" i="1" l="1"/>
  <c r="G899" i="1" l="1"/>
  <c r="H899" i="1" s="1"/>
  <c r="F900" i="1" l="1"/>
  <c r="G900" i="1" l="1"/>
  <c r="H900" i="1" s="1"/>
  <c r="F901" i="1" l="1"/>
  <c r="G901" i="1" l="1"/>
  <c r="H901" i="1" s="1"/>
  <c r="F902" i="1" l="1"/>
  <c r="G902" i="1" l="1"/>
  <c r="H902" i="1" s="1"/>
  <c r="F903" i="1" l="1"/>
  <c r="G903" i="1" l="1"/>
  <c r="H903" i="1" s="1"/>
  <c r="F904" i="1" l="1"/>
  <c r="G904" i="1" s="1"/>
  <c r="H904" i="1" s="1"/>
  <c r="F905" i="1" l="1"/>
  <c r="G905" i="1" l="1"/>
  <c r="H905" i="1" s="1"/>
  <c r="F906" i="1" l="1"/>
  <c r="G906" i="1" s="1"/>
  <c r="H906" i="1" s="1"/>
  <c r="F907" i="1" l="1"/>
  <c r="G907" i="1" l="1"/>
  <c r="H907" i="1" s="1"/>
  <c r="F908" i="1" l="1"/>
  <c r="G908" i="1" s="1"/>
  <c r="H908" i="1" s="1"/>
  <c r="F909" i="1" l="1"/>
  <c r="G909" i="1" s="1"/>
  <c r="H909" i="1" s="1"/>
  <c r="F910" i="1" l="1"/>
  <c r="G910" i="1" s="1"/>
  <c r="F911" i="1" l="1"/>
  <c r="H910" i="1"/>
  <c r="G911" i="1" l="1"/>
  <c r="H911" i="1" s="1"/>
  <c r="F912" i="1" l="1"/>
  <c r="G912" i="1" s="1"/>
  <c r="H912" i="1" s="1"/>
  <c r="F913" i="1" l="1"/>
  <c r="G913" i="1" l="1"/>
  <c r="H913" i="1" s="1"/>
  <c r="F914" i="1" l="1"/>
  <c r="G914" i="1" l="1"/>
  <c r="H914" i="1" s="1"/>
  <c r="F915" i="1" l="1"/>
  <c r="G915" i="1" l="1"/>
  <c r="H915" i="1" s="1"/>
  <c r="F916" i="1" l="1"/>
  <c r="G916" i="1" l="1"/>
  <c r="H916" i="1" s="1"/>
  <c r="F917" i="1" l="1"/>
  <c r="G917" i="1" s="1"/>
  <c r="H917" i="1" s="1"/>
  <c r="F918" i="1" l="1"/>
  <c r="G918" i="1" l="1"/>
  <c r="H918" i="1" s="1"/>
  <c r="F919" i="1" l="1"/>
  <c r="G919" i="1" l="1"/>
  <c r="H919" i="1" s="1"/>
  <c r="F920" i="1" l="1"/>
  <c r="G920" i="1" s="1"/>
  <c r="H920" i="1" s="1"/>
  <c r="F921" i="1" l="1"/>
  <c r="G921" i="1" l="1"/>
  <c r="H921" i="1" s="1"/>
  <c r="F922" i="1" l="1"/>
  <c r="G922" i="1" l="1"/>
  <c r="H922" i="1" s="1"/>
  <c r="F923" i="1" l="1"/>
  <c r="G923" i="1" l="1"/>
  <c r="H923" i="1" s="1"/>
  <c r="F924" i="1" l="1"/>
  <c r="G924" i="1" l="1"/>
  <c r="H924" i="1" s="1"/>
  <c r="F925" i="1" l="1"/>
  <c r="G925" i="1" l="1"/>
  <c r="H925" i="1" s="1"/>
  <c r="F926" i="1" l="1"/>
  <c r="G926" i="1" l="1"/>
  <c r="H926" i="1" s="1"/>
  <c r="F927" i="1" l="1"/>
  <c r="G927" i="1" l="1"/>
  <c r="H927" i="1" s="1"/>
  <c r="F928" i="1" l="1"/>
  <c r="G928" i="1" l="1"/>
  <c r="H928" i="1" s="1"/>
  <c r="F929" i="1" l="1"/>
  <c r="G929" i="1" l="1"/>
  <c r="H929" i="1" s="1"/>
  <c r="F930" i="1" l="1"/>
  <c r="G930" i="1" l="1"/>
  <c r="H930" i="1" s="1"/>
  <c r="F931" i="1" l="1"/>
  <c r="G931" i="1" l="1"/>
  <c r="H931" i="1" s="1"/>
  <c r="F932" i="1" l="1"/>
  <c r="G932" i="1" l="1"/>
  <c r="H932" i="1" s="1"/>
  <c r="F933" i="1" l="1"/>
  <c r="G933" i="1" s="1"/>
  <c r="H933" i="1" s="1"/>
  <c r="F934" i="1" l="1"/>
  <c r="G934" i="1" l="1"/>
  <c r="H934" i="1" s="1"/>
  <c r="F935" i="1" l="1"/>
  <c r="G935" i="1" l="1"/>
  <c r="H935" i="1" s="1"/>
  <c r="F936" i="1" l="1"/>
  <c r="G936" i="1" l="1"/>
  <c r="H936" i="1" s="1"/>
  <c r="F937" i="1" l="1"/>
  <c r="G937" i="1" l="1"/>
  <c r="H937" i="1" s="1"/>
  <c r="F938" i="1" l="1"/>
  <c r="G938" i="1" l="1"/>
  <c r="H938" i="1" s="1"/>
  <c r="F939" i="1" l="1"/>
  <c r="G939" i="1" l="1"/>
  <c r="H939" i="1" s="1"/>
  <c r="F940" i="1" l="1"/>
  <c r="G940" i="1" l="1"/>
  <c r="H940" i="1" s="1"/>
  <c r="F941" i="1" l="1"/>
  <c r="G941" i="1" s="1"/>
  <c r="F942" i="1" l="1"/>
  <c r="H941" i="1"/>
  <c r="G942" i="1" l="1"/>
  <c r="H942" i="1" s="1"/>
  <c r="F943" i="1" l="1"/>
  <c r="G943" i="1" l="1"/>
  <c r="H943" i="1" s="1"/>
  <c r="F944" i="1" l="1"/>
  <c r="G944" i="1" l="1"/>
  <c r="H944" i="1" s="1"/>
  <c r="F945" i="1" l="1"/>
  <c r="G945" i="1" l="1"/>
  <c r="H945" i="1" s="1"/>
  <c r="F946" i="1" l="1"/>
  <c r="G946" i="1" s="1"/>
  <c r="H946" i="1" s="1"/>
  <c r="F947" i="1" l="1"/>
  <c r="G947" i="1" l="1"/>
  <c r="H947" i="1" s="1"/>
  <c r="F948" i="1" l="1"/>
  <c r="G948" i="1" l="1"/>
  <c r="H948" i="1" s="1"/>
  <c r="F949" i="1" l="1"/>
  <c r="G949" i="1" l="1"/>
  <c r="H949" i="1" s="1"/>
  <c r="F950" i="1" l="1"/>
  <c r="G950" i="1" l="1"/>
  <c r="H950" i="1" s="1"/>
  <c r="F951" i="1" l="1"/>
  <c r="G951" i="1" l="1"/>
  <c r="H951" i="1" s="1"/>
  <c r="F952" i="1" l="1"/>
  <c r="G952" i="1" l="1"/>
  <c r="H952" i="1" s="1"/>
  <c r="F953" i="1" l="1"/>
  <c r="G953" i="1" l="1"/>
  <c r="H953" i="1" s="1"/>
  <c r="F954" i="1" l="1"/>
  <c r="G954" i="1" l="1"/>
  <c r="H954" i="1" s="1"/>
  <c r="F955" i="1" l="1"/>
  <c r="G955" i="1" l="1"/>
  <c r="H955" i="1" s="1"/>
  <c r="F956" i="1" l="1"/>
  <c r="G956" i="1" l="1"/>
  <c r="H956" i="1" s="1"/>
  <c r="F957" i="1" l="1"/>
  <c r="G957" i="1" l="1"/>
  <c r="H957" i="1" s="1"/>
  <c r="F958" i="1" l="1"/>
  <c r="G958" i="1" s="1"/>
  <c r="H958" i="1" l="1"/>
  <c r="F959" i="1"/>
  <c r="G959" i="1" l="1"/>
  <c r="H959" i="1" s="1"/>
  <c r="F960" i="1" l="1"/>
  <c r="G960" i="1" l="1"/>
  <c r="H960" i="1" s="1"/>
  <c r="F961" i="1" l="1"/>
  <c r="G961" i="1" s="1"/>
  <c r="H961" i="1" s="1"/>
  <c r="F962" i="1" l="1"/>
  <c r="G962" i="1" l="1"/>
  <c r="H962" i="1" s="1"/>
  <c r="F963" i="1" l="1"/>
  <c r="G963" i="1" l="1"/>
  <c r="H963" i="1" s="1"/>
  <c r="F964" i="1" l="1"/>
  <c r="G964" i="1" l="1"/>
  <c r="H964" i="1" s="1"/>
  <c r="F965" i="1" l="1"/>
  <c r="G965" i="1" l="1"/>
  <c r="H965" i="1" s="1"/>
  <c r="F966" i="1" l="1"/>
  <c r="G966" i="1" l="1"/>
  <c r="H966" i="1" s="1"/>
  <c r="F967" i="1" l="1"/>
  <c r="G967" i="1" l="1"/>
  <c r="H967" i="1" s="1"/>
  <c r="F968" i="1" l="1"/>
  <c r="G968" i="1" l="1"/>
  <c r="H968" i="1" s="1"/>
  <c r="F969" i="1" l="1"/>
  <c r="G969" i="1" l="1"/>
  <c r="H969" i="1" s="1"/>
  <c r="F970" i="1" l="1"/>
  <c r="G970" i="1" l="1"/>
  <c r="H970" i="1" s="1"/>
  <c r="F971" i="1" l="1"/>
  <c r="G971" i="1" l="1"/>
  <c r="H971" i="1" s="1"/>
  <c r="F972" i="1" l="1"/>
  <c r="G972" i="1" l="1"/>
  <c r="H972" i="1" s="1"/>
  <c r="F973" i="1" l="1"/>
  <c r="G973" i="1" l="1"/>
  <c r="H973" i="1" s="1"/>
  <c r="F974" i="1" l="1"/>
  <c r="G974" i="1" s="1"/>
  <c r="H974" i="1" l="1"/>
  <c r="F975" i="1"/>
  <c r="G975" i="1" l="1"/>
  <c r="H975" i="1" s="1"/>
  <c r="F976" i="1" l="1"/>
  <c r="G976" i="1" l="1"/>
  <c r="H976" i="1" s="1"/>
  <c r="F977" i="1" l="1"/>
  <c r="G977" i="1" s="1"/>
  <c r="H977" i="1" s="1"/>
  <c r="F978" i="1" l="1"/>
  <c r="G978" i="1" l="1"/>
  <c r="H978" i="1" s="1"/>
  <c r="F979" i="1" l="1"/>
  <c r="G979" i="1" l="1"/>
  <c r="H979" i="1" s="1"/>
  <c r="F980" i="1" l="1"/>
  <c r="G980" i="1" l="1"/>
  <c r="H980" i="1" s="1"/>
  <c r="F981" i="1" l="1"/>
  <c r="G981" i="1" l="1"/>
  <c r="H981" i="1" s="1"/>
  <c r="F982" i="1" l="1"/>
  <c r="G982" i="1" l="1"/>
  <c r="H982" i="1" s="1"/>
  <c r="F983" i="1" l="1"/>
  <c r="G983" i="1" l="1"/>
  <c r="H983" i="1" s="1"/>
  <c r="F984" i="1" l="1"/>
  <c r="G984" i="1" l="1"/>
  <c r="H984" i="1" s="1"/>
  <c r="F985" i="1" l="1"/>
  <c r="G985" i="1" l="1"/>
  <c r="H985" i="1" s="1"/>
  <c r="F986" i="1" l="1"/>
  <c r="G986" i="1" l="1"/>
  <c r="H986" i="1" s="1"/>
  <c r="F987" i="1" l="1"/>
  <c r="G987" i="1" l="1"/>
  <c r="H987" i="1" s="1"/>
  <c r="F988" i="1" l="1"/>
  <c r="G988" i="1" l="1"/>
  <c r="H988" i="1" s="1"/>
  <c r="F989" i="1" l="1"/>
  <c r="G989" i="1" l="1"/>
  <c r="H989" i="1" s="1"/>
  <c r="F990" i="1" l="1"/>
  <c r="G990" i="1" l="1"/>
  <c r="H990" i="1" s="1"/>
  <c r="F991" i="1" l="1"/>
  <c r="G991" i="1" s="1"/>
  <c r="H991" i="1" l="1"/>
  <c r="F992" i="1"/>
  <c r="G992" i="1" l="1"/>
  <c r="H992" i="1" s="1"/>
  <c r="F993" i="1" l="1"/>
  <c r="G993" i="1" l="1"/>
  <c r="H993" i="1" s="1"/>
  <c r="F994" i="1" l="1"/>
  <c r="G994" i="1" l="1"/>
  <c r="H994" i="1" s="1"/>
  <c r="F995" i="1" l="1"/>
  <c r="G995" i="1" l="1"/>
  <c r="H995" i="1" s="1"/>
  <c r="F996" i="1" l="1"/>
  <c r="G996" i="1" l="1"/>
  <c r="H996" i="1" s="1"/>
  <c r="F997" i="1" l="1"/>
  <c r="G997" i="1" l="1"/>
  <c r="H997" i="1" s="1"/>
  <c r="F998" i="1" l="1"/>
  <c r="G998" i="1" l="1"/>
  <c r="H998" i="1" s="1"/>
  <c r="F999" i="1" l="1"/>
  <c r="G999" i="1" l="1"/>
  <c r="H999" i="1" s="1"/>
  <c r="F1000" i="1" l="1"/>
  <c r="G1000" i="1" l="1"/>
  <c r="H1000" i="1" s="1"/>
  <c r="F1001" i="1" l="1"/>
  <c r="G1001" i="1" l="1"/>
  <c r="H1001" i="1" s="1"/>
  <c r="F1002" i="1" l="1"/>
  <c r="G1002" i="1" l="1"/>
  <c r="H1002" i="1" s="1"/>
  <c r="F1003" i="1" l="1"/>
  <c r="G1003" i="1" l="1"/>
  <c r="H1003" i="1" s="1"/>
  <c r="F1004" i="1" l="1"/>
  <c r="G1004" i="1" l="1"/>
  <c r="H1004" i="1" s="1"/>
  <c r="F1005" i="1" l="1"/>
  <c r="G1005" i="1" l="1"/>
  <c r="H1005" i="1" s="1"/>
  <c r="F1006" i="1" l="1"/>
  <c r="G1006" i="1" l="1"/>
  <c r="H1006" i="1" s="1"/>
  <c r="F1007" i="1" l="1"/>
  <c r="G1007" i="1" s="1"/>
  <c r="F1008" i="1" l="1"/>
  <c r="H1007" i="1"/>
  <c r="G1008" i="1" l="1"/>
  <c r="H1008" i="1" s="1"/>
  <c r="F1009" i="1" l="1"/>
  <c r="G1009" i="1" l="1"/>
  <c r="H1009" i="1" s="1"/>
  <c r="F1010" i="1" l="1"/>
  <c r="G1010" i="1" l="1"/>
  <c r="H1010" i="1" s="1"/>
  <c r="F1011" i="1" l="1"/>
  <c r="G1011" i="1" l="1"/>
  <c r="H1011" i="1" s="1"/>
  <c r="F1012" i="1" l="1"/>
  <c r="G1012" i="1" l="1"/>
  <c r="H1012" i="1" s="1"/>
  <c r="F1013" i="1" l="1"/>
  <c r="G1013" i="1" l="1"/>
  <c r="H1013" i="1" s="1"/>
  <c r="F1014" i="1" l="1"/>
  <c r="G1014" i="1" l="1"/>
  <c r="H1014" i="1" s="1"/>
  <c r="F1015" i="1" l="1"/>
  <c r="G1015" i="1" l="1"/>
  <c r="H1015" i="1" s="1"/>
  <c r="F1016" i="1" l="1"/>
  <c r="G1016" i="1" l="1"/>
  <c r="H1016" i="1" s="1"/>
  <c r="F1017" i="1" l="1"/>
  <c r="G1017" i="1" l="1"/>
  <c r="H1017" i="1" s="1"/>
  <c r="F1018" i="1" l="1"/>
  <c r="G1018" i="1" l="1"/>
  <c r="H1018" i="1" s="1"/>
  <c r="F1019" i="1" l="1"/>
  <c r="G1019" i="1" l="1"/>
  <c r="H1019" i="1" s="1"/>
  <c r="F1020" i="1" l="1"/>
  <c r="G1020" i="1" l="1"/>
  <c r="H1020" i="1" s="1"/>
  <c r="F1021" i="1" l="1"/>
  <c r="G1021" i="1" l="1"/>
  <c r="H1021" i="1" s="1"/>
  <c r="F1022" i="1" l="1"/>
  <c r="G1022" i="1" l="1"/>
  <c r="H1022" i="1" s="1"/>
  <c r="F1023" i="1" l="1"/>
  <c r="G1023" i="1" l="1"/>
  <c r="H1023" i="1" s="1"/>
  <c r="F1024" i="1" l="1"/>
  <c r="G1024" i="1" l="1"/>
  <c r="H1024" i="1" s="1"/>
  <c r="F1025" i="1" l="1"/>
  <c r="G1025" i="1" s="1"/>
  <c r="H1025" i="1" s="1"/>
  <c r="F1026" i="1" l="1"/>
  <c r="G1026" i="1" l="1"/>
  <c r="H1026" i="1" s="1"/>
  <c r="F1027" i="1" l="1"/>
  <c r="G1027" i="1" l="1"/>
  <c r="H1027" i="1" s="1"/>
  <c r="F1028" i="1" l="1"/>
  <c r="G1028" i="1" l="1"/>
  <c r="H1028" i="1" s="1"/>
  <c r="F1029" i="1" l="1"/>
  <c r="G1029" i="1" l="1"/>
  <c r="H1029" i="1" s="1"/>
  <c r="F1030" i="1" l="1"/>
  <c r="G1030" i="1" l="1"/>
  <c r="H1030" i="1" s="1"/>
  <c r="F1031" i="1" l="1"/>
  <c r="G1031" i="1" l="1"/>
  <c r="H1031" i="1" s="1"/>
  <c r="F1032" i="1" l="1"/>
  <c r="G1032" i="1" l="1"/>
  <c r="H1032" i="1" s="1"/>
  <c r="F1033" i="1" l="1"/>
  <c r="G1033" i="1" l="1"/>
  <c r="H1033" i="1" s="1"/>
  <c r="F1034" i="1" l="1"/>
  <c r="G1034" i="1" l="1"/>
  <c r="H1034" i="1" s="1"/>
  <c r="F1035" i="1" l="1"/>
  <c r="G1035" i="1" l="1"/>
  <c r="H1035" i="1" s="1"/>
  <c r="F1036" i="1" l="1"/>
  <c r="G1036" i="1" l="1"/>
  <c r="H1036" i="1" s="1"/>
  <c r="F1037" i="1" l="1"/>
  <c r="G1037" i="1" s="1"/>
  <c r="H1037" i="1" s="1"/>
  <c r="F1038" i="1" l="1"/>
  <c r="G1038" i="1" l="1"/>
  <c r="H1038" i="1" s="1"/>
  <c r="F1039" i="1" l="1"/>
  <c r="G1039" i="1" l="1"/>
  <c r="H1039" i="1" s="1"/>
  <c r="F1040" i="1" l="1"/>
  <c r="G1040" i="1" s="1"/>
  <c r="F1041" i="1" l="1"/>
  <c r="H1040" i="1"/>
  <c r="G1041" i="1" l="1"/>
  <c r="H1041" i="1" s="1"/>
  <c r="F1042" i="1" l="1"/>
  <c r="G1042" i="1" l="1"/>
  <c r="H1042" i="1" s="1"/>
  <c r="F1043" i="1" l="1"/>
  <c r="G1043" i="1" l="1"/>
  <c r="H1043" i="1" s="1"/>
  <c r="F1044" i="1" l="1"/>
  <c r="G1044" i="1" l="1"/>
  <c r="H1044" i="1" s="1"/>
  <c r="F1045" i="1" l="1"/>
  <c r="G1045" i="1" l="1"/>
  <c r="H1045" i="1" s="1"/>
  <c r="F1046" i="1" l="1"/>
  <c r="G1046" i="1" l="1"/>
  <c r="H1046" i="1" s="1"/>
  <c r="F1047" i="1" l="1"/>
  <c r="G1047" i="1" l="1"/>
  <c r="H1047" i="1" s="1"/>
  <c r="F1048" i="1" l="1"/>
  <c r="G1048" i="1" l="1"/>
  <c r="H1048" i="1" s="1"/>
  <c r="F1049" i="1" l="1"/>
  <c r="G1049" i="1" l="1"/>
  <c r="H1049" i="1" s="1"/>
  <c r="F1050" i="1" l="1"/>
  <c r="G1050" i="1" l="1"/>
  <c r="H1050" i="1" s="1"/>
  <c r="F1051" i="1" l="1"/>
  <c r="G1051" i="1" s="1"/>
  <c r="H1051" i="1" s="1"/>
  <c r="F1052" i="1" l="1"/>
  <c r="G1052" i="1" l="1"/>
  <c r="H1052" i="1" s="1"/>
  <c r="F1053" i="1" l="1"/>
  <c r="G1053" i="1" l="1"/>
  <c r="H1053" i="1" s="1"/>
  <c r="F1054" i="1" l="1"/>
  <c r="G1054" i="1" l="1"/>
  <c r="H1054" i="1" s="1"/>
  <c r="F1055" i="1" l="1"/>
  <c r="G1055" i="1" l="1"/>
  <c r="H1055" i="1" s="1"/>
  <c r="F1056" i="1" l="1"/>
  <c r="G1056" i="1" l="1"/>
  <c r="H1056" i="1" s="1"/>
  <c r="F1057" i="1" l="1"/>
  <c r="G1057" i="1" s="1"/>
  <c r="F1058" i="1" l="1"/>
  <c r="H1057" i="1"/>
  <c r="G1058" i="1" l="1"/>
  <c r="H1058" i="1" s="1"/>
  <c r="F1059" i="1" l="1"/>
  <c r="G1059" i="1" l="1"/>
  <c r="H1059" i="1" s="1"/>
  <c r="F1060" i="1" l="1"/>
  <c r="G1060" i="1" l="1"/>
  <c r="H1060" i="1" s="1"/>
  <c r="F1061" i="1" l="1"/>
  <c r="G1061" i="1" l="1"/>
  <c r="H1061" i="1" s="1"/>
  <c r="F1062" i="1" l="1"/>
  <c r="G1062" i="1" l="1"/>
  <c r="H1062" i="1" s="1"/>
  <c r="F1063" i="1" l="1"/>
  <c r="G1063" i="1" s="1"/>
  <c r="H1063" i="1" s="1"/>
  <c r="F1064" i="1" l="1"/>
  <c r="G1064" i="1" l="1"/>
  <c r="H1064" i="1" s="1"/>
  <c r="F1065" i="1" l="1"/>
  <c r="G1065" i="1" s="1"/>
  <c r="H1065" i="1" s="1"/>
  <c r="F1066" i="1" l="1"/>
  <c r="G1066" i="1" s="1"/>
  <c r="H1066" i="1" s="1"/>
  <c r="F1067" i="1" l="1"/>
  <c r="G1067" i="1" l="1"/>
  <c r="H1067" i="1" s="1"/>
  <c r="F1068" i="1" l="1"/>
  <c r="G1068" i="1" l="1"/>
  <c r="H1068" i="1" s="1"/>
  <c r="F1069" i="1" l="1"/>
  <c r="G1069" i="1" l="1"/>
  <c r="H1069" i="1" s="1"/>
  <c r="F1070" i="1" l="1"/>
  <c r="G1070" i="1" l="1"/>
  <c r="H1070" i="1" s="1"/>
  <c r="F1071" i="1" l="1"/>
  <c r="G1071" i="1" l="1"/>
  <c r="H1071" i="1" s="1"/>
  <c r="F1072" i="1" l="1"/>
  <c r="G1072" i="1" s="1"/>
  <c r="H1072" i="1" s="1"/>
  <c r="F1073" i="1" l="1"/>
  <c r="G1073" i="1" s="1"/>
  <c r="H1073" i="1" s="1"/>
  <c r="F1074" i="1" l="1"/>
  <c r="G1074" i="1" s="1"/>
  <c r="F1075" i="1" s="1"/>
  <c r="H1074" i="1" l="1"/>
  <c r="G1075" i="1"/>
  <c r="H1075" i="1" s="1"/>
  <c r="F1076" i="1" l="1"/>
  <c r="G1076" i="1" s="1"/>
  <c r="H1076" i="1" l="1"/>
  <c r="F1077" i="1"/>
  <c r="G1077" i="1" s="1"/>
  <c r="H1077" i="1" s="1"/>
  <c r="F1078" i="1" l="1"/>
  <c r="G1078" i="1" s="1"/>
  <c r="H1078" i="1" l="1"/>
  <c r="F1079" i="1"/>
  <c r="G1079" i="1" s="1"/>
  <c r="H1079" i="1" s="1"/>
  <c r="F1080" i="1" l="1"/>
  <c r="G1080" i="1" s="1"/>
  <c r="H1080" i="1" l="1"/>
  <c r="F1081" i="1"/>
  <c r="G1081" i="1" s="1"/>
  <c r="H1081" i="1" s="1"/>
  <c r="F1082" i="1" l="1"/>
  <c r="G1082" i="1" l="1"/>
  <c r="H1082" i="1" s="1"/>
  <c r="F1083" i="1" l="1"/>
  <c r="G1083" i="1" s="1"/>
  <c r="H1083" i="1" s="1"/>
  <c r="F1084" i="1" l="1"/>
  <c r="G1084" i="1" l="1"/>
  <c r="H1084" i="1" s="1"/>
  <c r="F1085" i="1" l="1"/>
  <c r="G1085" i="1" s="1"/>
  <c r="H1085" i="1" s="1"/>
  <c r="F1086" i="1" l="1"/>
  <c r="G1086" i="1" l="1"/>
  <c r="H1086" i="1" s="1"/>
  <c r="F1087" i="1" l="1"/>
  <c r="G1087" i="1" s="1"/>
  <c r="H1087" i="1" l="1"/>
  <c r="F1088" i="1"/>
  <c r="G1088" i="1" s="1"/>
  <c r="H1088" i="1" s="1"/>
  <c r="F1089" i="1" l="1"/>
  <c r="G1089" i="1" s="1"/>
  <c r="H1089" i="1" l="1"/>
  <c r="F1090" i="1"/>
  <c r="G1090" i="1" s="1"/>
  <c r="H1090" i="1" l="1"/>
  <c r="F1091" i="1"/>
  <c r="G1091" i="1" s="1"/>
  <c r="H1091" i="1" s="1"/>
  <c r="F1092" i="1" l="1"/>
  <c r="G1092" i="1" s="1"/>
  <c r="H1092" i="1" s="1"/>
  <c r="F1093" i="1" l="1"/>
  <c r="G1093" i="1" s="1"/>
  <c r="H1093" i="1" s="1"/>
  <c r="F1094" i="1" l="1"/>
  <c r="G1094" i="1" l="1"/>
  <c r="H1094" i="1" s="1"/>
  <c r="F1095" i="1" l="1"/>
  <c r="G1095" i="1" l="1"/>
  <c r="H1095" i="1" s="1"/>
  <c r="F1096" i="1" l="1"/>
  <c r="G1096" i="1" s="1"/>
  <c r="H1096" i="1" s="1"/>
  <c r="F1097" i="1" l="1"/>
  <c r="G1097" i="1" l="1"/>
  <c r="H1097" i="1" s="1"/>
  <c r="F1098" i="1" l="1"/>
  <c r="G1098" i="1" l="1"/>
  <c r="H1098" i="1" s="1"/>
  <c r="F1099" i="1" l="1"/>
  <c r="G1099" i="1" l="1"/>
  <c r="H1099" i="1" s="1"/>
  <c r="F1100" i="1" l="1"/>
  <c r="G1100" i="1" l="1"/>
  <c r="H1100" i="1" s="1"/>
  <c r="F1101" i="1" l="1"/>
  <c r="G1101" i="1" l="1"/>
  <c r="H1101" i="1" s="1"/>
  <c r="F1102" i="1" l="1"/>
  <c r="G1102" i="1" l="1"/>
  <c r="H1102" i="1" s="1"/>
  <c r="F1103" i="1" l="1"/>
  <c r="G1103" i="1" l="1"/>
  <c r="H1103" i="1" s="1"/>
  <c r="F1104" i="1" l="1"/>
  <c r="G1104" i="1" l="1"/>
  <c r="H1104" i="1" s="1"/>
  <c r="F1105" i="1" l="1"/>
  <c r="G1105" i="1" s="1"/>
  <c r="H1105" i="1" s="1"/>
  <c r="F1106" i="1" l="1"/>
  <c r="G1106" i="1" s="1"/>
  <c r="F1107" i="1" s="1"/>
  <c r="H1106" i="1" l="1"/>
  <c r="G1107" i="1"/>
  <c r="H1107" i="1" s="1"/>
  <c r="F1108" i="1" l="1"/>
  <c r="G1108" i="1" s="1"/>
  <c r="H1108" i="1" s="1"/>
  <c r="F1109" i="1" l="1"/>
  <c r="G1109" i="1" s="1"/>
  <c r="H1109" i="1" s="1"/>
  <c r="F1110" i="1" l="1"/>
  <c r="G1110" i="1" s="1"/>
  <c r="H1110" i="1" l="1"/>
  <c r="F1111" i="1"/>
  <c r="G1111" i="1" s="1"/>
  <c r="H1111" i="1" s="1"/>
  <c r="F1112" i="1" l="1"/>
  <c r="G1112" i="1" s="1"/>
  <c r="H1112" i="1" s="1"/>
  <c r="F1113" i="1" l="1"/>
  <c r="G1113" i="1" s="1"/>
  <c r="H1113" i="1" s="1"/>
  <c r="F1114" i="1" l="1"/>
  <c r="G1114" i="1" s="1"/>
  <c r="H1114" i="1" s="1"/>
  <c r="F1115" i="1" l="1"/>
  <c r="G1115" i="1" s="1"/>
  <c r="H1115" i="1" s="1"/>
  <c r="F1116" i="1" l="1"/>
  <c r="G1116" i="1" s="1"/>
  <c r="H1116" i="1" s="1"/>
  <c r="F1117" i="1" l="1"/>
  <c r="G1117" i="1" s="1"/>
  <c r="H1117" i="1" s="1"/>
  <c r="F1118" i="1" l="1"/>
  <c r="G1118" i="1" l="1"/>
  <c r="H1118" i="1" s="1"/>
  <c r="F1119" i="1" l="1"/>
  <c r="G1119" i="1" s="1"/>
  <c r="H1119" i="1" s="1"/>
  <c r="F1120" i="1" l="1"/>
  <c r="G1120" i="1" l="1"/>
  <c r="H1120" i="1" s="1"/>
  <c r="F1121" i="1" l="1"/>
  <c r="G1121" i="1" l="1"/>
  <c r="H1121" i="1" s="1"/>
  <c r="F1122" i="1" l="1"/>
  <c r="G1122" i="1" l="1"/>
  <c r="H1122" i="1" s="1"/>
  <c r="F1123" i="1" l="1"/>
  <c r="G1123" i="1" s="1"/>
  <c r="H1123" i="1" l="1"/>
  <c r="F1124" i="1"/>
  <c r="G1124" i="1" l="1"/>
  <c r="H1124" i="1" s="1"/>
  <c r="F1125" i="1" l="1"/>
  <c r="G1125" i="1" l="1"/>
  <c r="H1125" i="1" s="1"/>
  <c r="F1126" i="1" l="1"/>
  <c r="G1126" i="1" s="1"/>
  <c r="H1126" i="1" s="1"/>
  <c r="F1127" i="1" l="1"/>
  <c r="G1127" i="1" l="1"/>
  <c r="H1127" i="1" s="1"/>
  <c r="F1128" i="1" l="1"/>
  <c r="G1128" i="1" s="1"/>
  <c r="H1128" i="1" s="1"/>
  <c r="F1129" i="1" l="1"/>
  <c r="G1129" i="1" l="1"/>
  <c r="H1129" i="1" s="1"/>
  <c r="F1130" i="1" l="1"/>
  <c r="G1130" i="1" l="1"/>
  <c r="H1130" i="1" s="1"/>
  <c r="F1131" i="1" l="1"/>
  <c r="G1131" i="1" l="1"/>
  <c r="H1131" i="1" s="1"/>
  <c r="F1132" i="1" l="1"/>
  <c r="G1132" i="1" l="1"/>
  <c r="H1132" i="1" s="1"/>
  <c r="F1133" i="1" l="1"/>
  <c r="G1133" i="1" s="1"/>
  <c r="H1133" i="1" s="1"/>
  <c r="F1134" i="1" l="1"/>
  <c r="G1134" i="1" l="1"/>
  <c r="H1134" i="1" s="1"/>
  <c r="F1135" i="1" l="1"/>
  <c r="G1135" i="1" l="1"/>
  <c r="H1135" i="1" s="1"/>
  <c r="F1136" i="1" l="1"/>
  <c r="G1136" i="1" s="1"/>
  <c r="H1136" i="1" s="1"/>
  <c r="F1137" i="1" l="1"/>
  <c r="G1137" i="1" s="1"/>
  <c r="H1137" i="1" s="1"/>
  <c r="F1138" i="1" l="1"/>
  <c r="G1138" i="1" s="1"/>
  <c r="H1138" i="1" s="1"/>
  <c r="F1139" i="1" l="1"/>
  <c r="G1139" i="1" s="1"/>
  <c r="H1139" i="1" s="1"/>
  <c r="F1140" i="1" l="1"/>
  <c r="G1140" i="1" s="1"/>
  <c r="F1141" i="1" s="1"/>
  <c r="H1140" i="1" l="1"/>
  <c r="G1141" i="1"/>
  <c r="H1141" i="1" s="1"/>
  <c r="F1142" i="1" l="1"/>
  <c r="G1142" i="1" s="1"/>
  <c r="H1142" i="1" s="1"/>
  <c r="F1143" i="1" l="1"/>
  <c r="G1143" i="1" s="1"/>
  <c r="H1143" i="1" s="1"/>
  <c r="F1144" i="1" l="1"/>
  <c r="G1144" i="1" l="1"/>
  <c r="H1144" i="1" s="1"/>
  <c r="F1145" i="1" l="1"/>
  <c r="G1145" i="1" s="1"/>
  <c r="H1145" i="1" s="1"/>
  <c r="F1146" i="1" l="1"/>
  <c r="G1146" i="1" s="1"/>
  <c r="H1146" i="1" s="1"/>
  <c r="F1147" i="1" l="1"/>
  <c r="G1147" i="1" l="1"/>
  <c r="H1147" i="1" s="1"/>
  <c r="F1148" i="1" l="1"/>
  <c r="G1148" i="1" s="1"/>
  <c r="H1148" i="1" l="1"/>
  <c r="F1149" i="1"/>
  <c r="G1149" i="1" s="1"/>
  <c r="H1149" i="1" s="1"/>
  <c r="F1150" i="1" l="1"/>
  <c r="G1150" i="1" s="1"/>
  <c r="H1150" i="1" s="1"/>
  <c r="F1151" i="1" l="1"/>
  <c r="G1151" i="1" s="1"/>
  <c r="H1151" i="1" s="1"/>
  <c r="F1152" i="1" l="1"/>
  <c r="G1152" i="1" s="1"/>
  <c r="H1152" i="1" s="1"/>
  <c r="F1153" i="1" l="1"/>
  <c r="G1153" i="1" s="1"/>
  <c r="H1153" i="1" s="1"/>
  <c r="F1154" i="1" l="1"/>
  <c r="G1154" i="1" s="1"/>
  <c r="H1154" i="1" s="1"/>
  <c r="F1155" i="1" l="1"/>
  <c r="G1155" i="1" s="1"/>
  <c r="H1155" i="1" s="1"/>
  <c r="F1156" i="1" l="1"/>
  <c r="G1156" i="1" s="1"/>
  <c r="H1156" i="1" l="1"/>
  <c r="F1157" i="1"/>
  <c r="G1157" i="1" s="1"/>
  <c r="H1157" i="1" s="1"/>
  <c r="F1158" i="1" l="1"/>
  <c r="G1158" i="1" s="1"/>
  <c r="H1158" i="1" s="1"/>
  <c r="F1159" i="1" l="1"/>
  <c r="G1159" i="1" s="1"/>
  <c r="H1159" i="1" l="1"/>
  <c r="F1160" i="1"/>
  <c r="G1160" i="1" s="1"/>
  <c r="H1160" i="1" l="1"/>
  <c r="F1161" i="1"/>
  <c r="G1161" i="1" s="1"/>
  <c r="H1161" i="1" l="1"/>
  <c r="F1162" i="1"/>
  <c r="G1162" i="1" s="1"/>
  <c r="H1162" i="1" l="1"/>
  <c r="F1163" i="1"/>
  <c r="G1163" i="1" s="1"/>
  <c r="H1163" i="1" l="1"/>
  <c r="F1164" i="1"/>
  <c r="G1164" i="1" s="1"/>
  <c r="H1164" i="1" l="1"/>
  <c r="F1165" i="1"/>
  <c r="G1165" i="1" s="1"/>
  <c r="H1165" i="1" s="1"/>
  <c r="F1166" i="1" l="1"/>
  <c r="G1166" i="1" l="1"/>
  <c r="H1166" i="1" s="1"/>
  <c r="F1167" i="1" l="1"/>
  <c r="G1167" i="1" l="1"/>
  <c r="H1167" i="1" s="1"/>
  <c r="F1168" i="1" l="1"/>
  <c r="G1168" i="1" l="1"/>
  <c r="H1168" i="1" s="1"/>
  <c r="F1169" i="1" l="1"/>
  <c r="G1169" i="1" l="1"/>
  <c r="H1169" i="1" s="1"/>
  <c r="F1170" i="1" l="1"/>
  <c r="G1170" i="1" l="1"/>
  <c r="H1170" i="1" s="1"/>
  <c r="F1171" i="1" l="1"/>
  <c r="G1171" i="1" l="1"/>
  <c r="H1171" i="1" s="1"/>
  <c r="F1172" i="1" l="1"/>
  <c r="G1172" i="1" l="1"/>
  <c r="H1172" i="1" s="1"/>
  <c r="F1173" i="1" l="1"/>
  <c r="G1173" i="1" s="1"/>
  <c r="F1174" i="1" l="1"/>
  <c r="H1173" i="1"/>
  <c r="G1174" i="1" l="1"/>
  <c r="H1174" i="1" s="1"/>
  <c r="F1175" i="1" l="1"/>
  <c r="G1175" i="1" l="1"/>
  <c r="H1175" i="1" s="1"/>
  <c r="F1176" i="1" l="1"/>
  <c r="G1176" i="1" l="1"/>
  <c r="H1176" i="1" s="1"/>
  <c r="F1177" i="1" l="1"/>
  <c r="G1177" i="1" l="1"/>
  <c r="H1177" i="1" s="1"/>
  <c r="F1178" i="1" l="1"/>
  <c r="G1178" i="1" l="1"/>
  <c r="H1178" i="1" s="1"/>
  <c r="F1179" i="1" l="1"/>
  <c r="G1179" i="1" l="1"/>
  <c r="H1179" i="1" s="1"/>
  <c r="F1180" i="1" l="1"/>
  <c r="G1180" i="1" l="1"/>
  <c r="H1180" i="1" s="1"/>
  <c r="F1181" i="1" l="1"/>
  <c r="G1181" i="1" l="1"/>
  <c r="H1181" i="1" s="1"/>
  <c r="F1182" i="1" l="1"/>
  <c r="G1182" i="1" s="1"/>
  <c r="H1182" i="1" l="1"/>
  <c r="F1183" i="1"/>
  <c r="G1183" i="1" s="1"/>
  <c r="H1183" i="1" s="1"/>
  <c r="F1184" i="1" l="1"/>
  <c r="G1184" i="1" l="1"/>
  <c r="H1184" i="1" s="1"/>
  <c r="F1185" i="1" l="1"/>
  <c r="G1185" i="1" l="1"/>
  <c r="H1185" i="1" s="1"/>
  <c r="F1186" i="1" l="1"/>
  <c r="G1186" i="1" s="1"/>
  <c r="H1186" i="1" l="1"/>
  <c r="F1187" i="1"/>
  <c r="G1187" i="1" s="1"/>
  <c r="H1187" i="1" s="1"/>
  <c r="F1188" i="1" l="1"/>
  <c r="G1188" i="1" l="1"/>
  <c r="H1188" i="1" s="1"/>
  <c r="F1189" i="1" l="1"/>
  <c r="G1189" i="1" s="1"/>
  <c r="F1190" i="1" l="1"/>
  <c r="H1189" i="1"/>
  <c r="G1190" i="1" l="1"/>
  <c r="H1190" i="1" s="1"/>
  <c r="F1191" i="1" l="1"/>
  <c r="G1191" i="1" l="1"/>
  <c r="H1191" i="1" s="1"/>
  <c r="F1192" i="1" l="1"/>
  <c r="G1192" i="1" l="1"/>
  <c r="H1192" i="1" s="1"/>
  <c r="F1193" i="1" l="1"/>
  <c r="G1193" i="1" l="1"/>
  <c r="H1193" i="1" s="1"/>
  <c r="F1194" i="1" l="1"/>
  <c r="G1194" i="1" s="1"/>
  <c r="H1194" i="1" s="1"/>
  <c r="F1195" i="1" l="1"/>
  <c r="G1195" i="1" s="1"/>
  <c r="H1195" i="1" l="1"/>
  <c r="F1196" i="1"/>
  <c r="G1196" i="1" s="1"/>
  <c r="H1196" i="1" l="1"/>
  <c r="F1197" i="1"/>
  <c r="G1197" i="1" s="1"/>
  <c r="H1197" i="1" s="1"/>
  <c r="F1198" i="1" l="1"/>
  <c r="G1198" i="1" l="1"/>
  <c r="H1198" i="1" s="1"/>
  <c r="F1199" i="1" l="1"/>
  <c r="G1199" i="1" s="1"/>
  <c r="H1199" i="1" s="1"/>
  <c r="F1200" i="1" l="1"/>
  <c r="G1200" i="1" l="1"/>
  <c r="H1200" i="1" s="1"/>
  <c r="F1201" i="1" l="1"/>
  <c r="G1201" i="1" s="1"/>
  <c r="H1201" i="1" s="1"/>
  <c r="F1202" i="1" l="1"/>
  <c r="G1202" i="1" l="1"/>
  <c r="H1202" i="1" s="1"/>
  <c r="F1203" i="1" l="1"/>
  <c r="G1203" i="1" l="1"/>
  <c r="H1203" i="1" s="1"/>
  <c r="F1204" i="1" l="1"/>
  <c r="G1204" i="1" s="1"/>
  <c r="H1204" i="1" s="1"/>
  <c r="F1205" i="1" l="1"/>
  <c r="G1205" i="1" l="1"/>
  <c r="H1205" i="1" s="1"/>
  <c r="F1206" i="1" l="1"/>
  <c r="G1206" i="1" s="1"/>
  <c r="H1206" i="1" s="1"/>
  <c r="F1207" i="1" l="1"/>
  <c r="G1207" i="1" s="1"/>
  <c r="H1207" i="1" s="1"/>
  <c r="F1208" i="1" l="1"/>
  <c r="G1208" i="1" s="1"/>
  <c r="H1208" i="1" s="1"/>
  <c r="F1209" i="1" l="1"/>
  <c r="G1209" i="1" l="1"/>
  <c r="H1209" i="1" s="1"/>
  <c r="F1210" i="1" l="1"/>
  <c r="G1210" i="1" l="1"/>
  <c r="H1210" i="1" s="1"/>
  <c r="F1211" i="1" l="1"/>
  <c r="G1211" i="1" l="1"/>
  <c r="H1211" i="1" s="1"/>
  <c r="F1212" i="1" l="1"/>
  <c r="G1212" i="1" l="1"/>
  <c r="H1212" i="1" s="1"/>
  <c r="F1213" i="1" l="1"/>
  <c r="G1213" i="1" l="1"/>
  <c r="H1213" i="1" s="1"/>
  <c r="F1214" i="1" l="1"/>
  <c r="G1214" i="1" l="1"/>
  <c r="H1214" i="1" s="1"/>
  <c r="F1215" i="1" l="1"/>
  <c r="G1215" i="1" l="1"/>
  <c r="H1215" i="1" s="1"/>
  <c r="F1216" i="1" l="1"/>
  <c r="G1216" i="1" l="1"/>
  <c r="H1216" i="1" s="1"/>
  <c r="F1217" i="1" l="1"/>
  <c r="G1217" i="1" l="1"/>
  <c r="H1217" i="1" s="1"/>
  <c r="F1218" i="1" l="1"/>
  <c r="G1218" i="1" l="1"/>
  <c r="H1218" i="1" s="1"/>
  <c r="F1219" i="1" l="1"/>
  <c r="G1219" i="1" l="1"/>
  <c r="H1219" i="1" s="1"/>
  <c r="F1220" i="1" l="1"/>
  <c r="G1220" i="1" s="1"/>
  <c r="H1220" i="1" s="1"/>
  <c r="F1221" i="1" l="1"/>
  <c r="G1221" i="1" s="1"/>
  <c r="H1221" i="1" s="1"/>
  <c r="F1222" i="1" l="1"/>
  <c r="G1222" i="1" s="1"/>
  <c r="H1222" i="1" s="1"/>
  <c r="F1223" i="1" l="1"/>
  <c r="G1223" i="1" s="1"/>
  <c r="H1223" i="1" s="1"/>
  <c r="F1224" i="1" l="1"/>
  <c r="G1224" i="1" s="1"/>
  <c r="H1224" i="1" s="1"/>
  <c r="F1225" i="1" l="1"/>
  <c r="G1225" i="1" s="1"/>
  <c r="H1225" i="1" s="1"/>
  <c r="F1226" i="1" l="1"/>
  <c r="G1226" i="1" l="1"/>
  <c r="H1226" i="1" s="1"/>
  <c r="F1227" i="1" l="1"/>
  <c r="G1227" i="1" s="1"/>
  <c r="H1227" i="1" s="1"/>
  <c r="F1228" i="1" l="1"/>
  <c r="G1228" i="1" l="1"/>
  <c r="H1228" i="1" s="1"/>
  <c r="F1229" i="1" l="1"/>
  <c r="G1229" i="1" l="1"/>
  <c r="H1229" i="1" s="1"/>
  <c r="F1230" i="1" l="1"/>
  <c r="G1230" i="1" s="1"/>
  <c r="H1230" i="1" s="1"/>
  <c r="F1231" i="1" l="1"/>
  <c r="G1231" i="1" s="1"/>
  <c r="H1231" i="1" s="1"/>
  <c r="F1232" i="1" l="1"/>
  <c r="G1232" i="1" s="1"/>
  <c r="H1232" i="1" s="1"/>
  <c r="F1233" i="1" l="1"/>
  <c r="G1233" i="1" s="1"/>
  <c r="H1233" i="1" s="1"/>
  <c r="F1234" i="1" l="1"/>
  <c r="G1234" i="1" l="1"/>
  <c r="H1234" i="1" s="1"/>
  <c r="F1235" i="1" l="1"/>
  <c r="G1235" i="1" l="1"/>
  <c r="H1235" i="1" s="1"/>
  <c r="F1236" i="1" l="1"/>
  <c r="G1236" i="1" s="1"/>
  <c r="H1236" i="1" l="1"/>
  <c r="F1237" i="1"/>
  <c r="G1237" i="1" l="1"/>
  <c r="H1237" i="1" s="1"/>
  <c r="F1238" i="1" l="1"/>
  <c r="G1238" i="1" l="1"/>
  <c r="H1238" i="1" s="1"/>
  <c r="F1239" i="1" l="1"/>
  <c r="G1239" i="1" s="1"/>
  <c r="H1239" i="1" l="1"/>
  <c r="F1240" i="1"/>
  <c r="G1240" i="1" s="1"/>
  <c r="F1241" i="1" s="1"/>
  <c r="H1240" i="1" l="1"/>
  <c r="G1241" i="1"/>
  <c r="H1241" i="1" s="1"/>
  <c r="F1242" i="1" l="1"/>
  <c r="G1242" i="1" l="1"/>
  <c r="H1242" i="1" s="1"/>
  <c r="F1243" i="1" l="1"/>
  <c r="G1243" i="1" l="1"/>
  <c r="H1243" i="1" s="1"/>
  <c r="F1244" i="1" l="1"/>
  <c r="G1244" i="1" l="1"/>
  <c r="H1244" i="1" s="1"/>
  <c r="F1245" i="1" l="1"/>
  <c r="G1245" i="1" s="1"/>
  <c r="H1245" i="1" s="1"/>
  <c r="F1246" i="1" l="1"/>
  <c r="G1246" i="1" l="1"/>
  <c r="H1246" i="1" s="1"/>
  <c r="F1247" i="1" l="1"/>
  <c r="G1247" i="1" l="1"/>
  <c r="H1247" i="1" s="1"/>
  <c r="F1248" i="1" l="1"/>
  <c r="G1248" i="1" s="1"/>
  <c r="H1248" i="1" l="1"/>
  <c r="F1249" i="1"/>
  <c r="G1249" i="1" s="1"/>
  <c r="H1249" i="1" l="1"/>
  <c r="F1250" i="1"/>
  <c r="G1250" i="1" s="1"/>
  <c r="H1250" i="1" l="1"/>
  <c r="F1251" i="1"/>
  <c r="G1251" i="1" s="1"/>
  <c r="H1251" i="1" l="1"/>
  <c r="F1252" i="1"/>
  <c r="G1252" i="1" s="1"/>
  <c r="H1252" i="1" s="1"/>
  <c r="F1253" i="1" l="1"/>
  <c r="G1253" i="1" l="1"/>
  <c r="H1253" i="1" s="1"/>
  <c r="F1254" i="1" l="1"/>
  <c r="G1254" i="1" s="1"/>
  <c r="H1254" i="1" s="1"/>
  <c r="F1255" i="1" l="1"/>
  <c r="G1255" i="1" s="1"/>
  <c r="F1256" i="1" s="1"/>
  <c r="H1255" i="1" l="1"/>
  <c r="G1256" i="1"/>
  <c r="H1256" i="1" s="1"/>
  <c r="F1257" i="1" l="1"/>
  <c r="G1257" i="1" s="1"/>
  <c r="H1257" i="1" s="1"/>
  <c r="F1258" i="1" l="1"/>
  <c r="G1258" i="1" l="1"/>
  <c r="H1258" i="1" s="1"/>
  <c r="F1259" i="1" l="1"/>
  <c r="G1259" i="1" s="1"/>
  <c r="H1259" i="1" s="1"/>
  <c r="F1260" i="1" l="1"/>
  <c r="G1260" i="1" l="1"/>
  <c r="H1260" i="1" s="1"/>
  <c r="F1261" i="1" l="1"/>
  <c r="G1261" i="1" s="1"/>
  <c r="H1261" i="1" s="1"/>
  <c r="F1262" i="1" l="1"/>
  <c r="G1262" i="1" l="1"/>
  <c r="H1262" i="1" s="1"/>
  <c r="F1263" i="1" l="1"/>
  <c r="G1263" i="1" s="1"/>
  <c r="H1263" i="1" s="1"/>
  <c r="F1264" i="1" l="1"/>
  <c r="G1264" i="1" l="1"/>
  <c r="H1264" i="1" s="1"/>
  <c r="F1265" i="1" l="1"/>
  <c r="G1265" i="1" l="1"/>
  <c r="H1265" i="1" s="1"/>
  <c r="F1266" i="1" l="1"/>
  <c r="G1266" i="1" l="1"/>
  <c r="H1266" i="1" s="1"/>
  <c r="F1267" i="1" l="1"/>
  <c r="G1267" i="1" l="1"/>
  <c r="H1267" i="1" s="1"/>
  <c r="F1268" i="1" l="1"/>
  <c r="G1268" i="1" l="1"/>
  <c r="H1268" i="1" s="1"/>
  <c r="F1269" i="1" l="1"/>
  <c r="G1269" i="1" s="1"/>
  <c r="H1269" i="1" s="1"/>
  <c r="F1270" i="1" l="1"/>
  <c r="G1270" i="1" s="1"/>
  <c r="F1271" i="1" l="1"/>
  <c r="H1270" i="1"/>
  <c r="G1271" i="1" l="1"/>
  <c r="H1271" i="1" s="1"/>
  <c r="F1272" i="1" l="1"/>
  <c r="G1272" i="1" s="1"/>
  <c r="H1272" i="1" l="1"/>
  <c r="F1273" i="1"/>
  <c r="G1273" i="1" s="1"/>
  <c r="H1273" i="1" l="1"/>
  <c r="F1274" i="1"/>
  <c r="G1274" i="1" s="1"/>
  <c r="H1274" i="1" s="1"/>
  <c r="F1275" i="1" l="1"/>
  <c r="G1275" i="1" l="1"/>
  <c r="H1275" i="1" s="1"/>
  <c r="F1276" i="1" l="1"/>
  <c r="G1276" i="1" s="1"/>
  <c r="H1276" i="1" s="1"/>
  <c r="F1277" i="1" l="1"/>
  <c r="G1277" i="1" l="1"/>
  <c r="H1277" i="1" s="1"/>
  <c r="F1278" i="1" l="1"/>
  <c r="G1278" i="1" s="1"/>
  <c r="H1278" i="1" s="1"/>
  <c r="F1279" i="1" l="1"/>
  <c r="G1279" i="1" s="1"/>
  <c r="H1279" i="1" s="1"/>
  <c r="F1280" i="1" l="1"/>
  <c r="G1280" i="1" s="1"/>
  <c r="H1280" i="1" s="1"/>
  <c r="F1281" i="1" l="1"/>
  <c r="G1281" i="1" l="1"/>
  <c r="H1281" i="1" s="1"/>
  <c r="F1282" i="1" l="1"/>
  <c r="G1282" i="1" s="1"/>
  <c r="H1282" i="1" s="1"/>
  <c r="F1283" i="1" l="1"/>
  <c r="G1283" i="1" s="1"/>
  <c r="H1283" i="1" s="1"/>
  <c r="F1284" i="1" l="1"/>
  <c r="G1284" i="1" l="1"/>
  <c r="H1284" i="1" s="1"/>
  <c r="F1285" i="1" l="1"/>
  <c r="G1285" i="1" s="1"/>
  <c r="H1285" i="1" s="1"/>
  <c r="F1286" i="1" l="1"/>
  <c r="G1286" i="1" l="1"/>
  <c r="H1286" i="1" s="1"/>
  <c r="F1287" i="1" l="1"/>
  <c r="G1287" i="1" s="1"/>
  <c r="F1288" i="1" l="1"/>
  <c r="H1287" i="1"/>
  <c r="G1288" i="1" l="1"/>
  <c r="H1288" i="1" s="1"/>
  <c r="F1289" i="1" l="1"/>
  <c r="G1289" i="1" s="1"/>
  <c r="H1289" i="1" l="1"/>
  <c r="F1290" i="1"/>
  <c r="G1290" i="1" s="1"/>
  <c r="H1290" i="1" l="1"/>
  <c r="F1291" i="1"/>
  <c r="G1291" i="1" s="1"/>
  <c r="H1291" i="1" l="1"/>
  <c r="F1292" i="1"/>
  <c r="G1292" i="1" s="1"/>
  <c r="H1292" i="1" l="1"/>
  <c r="F1293" i="1"/>
  <c r="G1293" i="1" s="1"/>
  <c r="H1293" i="1" l="1"/>
  <c r="F1294" i="1"/>
  <c r="G1294" i="1" s="1"/>
  <c r="H1294" i="1" l="1"/>
  <c r="F1295" i="1"/>
  <c r="G1295" i="1" s="1"/>
  <c r="H1295" i="1" s="1"/>
  <c r="F1296" i="1" l="1"/>
  <c r="G1296" i="1" l="1"/>
  <c r="H1296" i="1" s="1"/>
  <c r="F1297" i="1" l="1"/>
  <c r="G1297" i="1" s="1"/>
  <c r="H1297" i="1" l="1"/>
  <c r="F1298" i="1"/>
  <c r="G1298" i="1" s="1"/>
  <c r="H1298" i="1" l="1"/>
  <c r="F1299" i="1"/>
  <c r="G1299" i="1" s="1"/>
  <c r="H1299" i="1" l="1"/>
  <c r="F1300" i="1"/>
  <c r="G1300" i="1" s="1"/>
  <c r="H1300" i="1" l="1"/>
  <c r="F1301" i="1"/>
  <c r="G1301" i="1" s="1"/>
  <c r="H1301" i="1" s="1"/>
  <c r="F1302" i="1" l="1"/>
  <c r="G1302" i="1" l="1"/>
  <c r="H1302" i="1" s="1"/>
  <c r="F1303" i="1" l="1"/>
  <c r="G1303" i="1" s="1"/>
  <c r="H1303" i="1" s="1"/>
  <c r="F1304" i="1" l="1"/>
  <c r="G1304" i="1" s="1"/>
  <c r="H1304" i="1" s="1"/>
  <c r="F1305" i="1" l="1"/>
  <c r="G1305" i="1" l="1"/>
  <c r="H1305" i="1" s="1"/>
  <c r="F1306" i="1" l="1"/>
  <c r="G1306" i="1" l="1"/>
  <c r="H1306" i="1" s="1"/>
  <c r="F1307" i="1" l="1"/>
  <c r="G1307" i="1" l="1"/>
  <c r="H1307" i="1" s="1"/>
  <c r="F1308" i="1" l="1"/>
  <c r="G1308" i="1" l="1"/>
  <c r="H1308" i="1" s="1"/>
  <c r="F1309" i="1" l="1"/>
  <c r="G1309" i="1" l="1"/>
  <c r="H1309" i="1" s="1"/>
  <c r="F1310" i="1" l="1"/>
  <c r="G1310" i="1" l="1"/>
  <c r="H1310" i="1" s="1"/>
  <c r="F1311" i="1" l="1"/>
  <c r="G1311" i="1" l="1"/>
  <c r="H1311" i="1" s="1"/>
  <c r="F1312" i="1" l="1"/>
  <c r="G1312" i="1" l="1"/>
  <c r="H1312" i="1" s="1"/>
  <c r="F1313" i="1" l="1"/>
  <c r="G1313" i="1" l="1"/>
  <c r="H1313" i="1" s="1"/>
  <c r="F1314" i="1" l="1"/>
  <c r="G1314" i="1" s="1"/>
  <c r="H1314" i="1" s="1"/>
  <c r="F1315" i="1" l="1"/>
  <c r="G1315" i="1" s="1"/>
  <c r="H1315" i="1" l="1"/>
  <c r="F1316" i="1"/>
  <c r="G1316" i="1" s="1"/>
  <c r="H1316" i="1" l="1"/>
  <c r="F1317" i="1"/>
  <c r="G1317" i="1" s="1"/>
  <c r="H1317" i="1" l="1"/>
  <c r="F1318" i="1"/>
  <c r="G1318" i="1" s="1"/>
  <c r="H1318" i="1" l="1"/>
  <c r="F1319" i="1"/>
  <c r="G1319" i="1" s="1"/>
  <c r="F1320" i="1" s="1"/>
  <c r="H1319" i="1" l="1"/>
  <c r="G1320" i="1"/>
  <c r="H1320" i="1" s="1"/>
  <c r="F1321" i="1" l="1"/>
  <c r="G1321" i="1" l="1"/>
  <c r="H1321" i="1" s="1"/>
  <c r="F1322" i="1" l="1"/>
  <c r="G1322" i="1" l="1"/>
  <c r="H1322" i="1" s="1"/>
  <c r="F1323" i="1" l="1"/>
  <c r="G1323" i="1" l="1"/>
  <c r="H1323" i="1" s="1"/>
  <c r="F1324" i="1" l="1"/>
  <c r="G1324" i="1" l="1"/>
  <c r="H1324" i="1" s="1"/>
  <c r="F1325" i="1" l="1"/>
  <c r="G1325" i="1" l="1"/>
  <c r="H1325" i="1" s="1"/>
  <c r="F1326" i="1" l="1"/>
  <c r="G1326" i="1" l="1"/>
  <c r="H1326" i="1" s="1"/>
  <c r="F1327" i="1" l="1"/>
  <c r="G1327" i="1" l="1"/>
  <c r="H1327" i="1" s="1"/>
  <c r="F1328" i="1" l="1"/>
  <c r="G1328" i="1" l="1"/>
  <c r="H1328" i="1" s="1"/>
  <c r="F1329" i="1" l="1"/>
  <c r="G1329" i="1" l="1"/>
  <c r="H1329" i="1" s="1"/>
  <c r="F1330" i="1" l="1"/>
  <c r="G1330" i="1" l="1"/>
  <c r="H1330" i="1" s="1"/>
  <c r="F1331" i="1" l="1"/>
  <c r="G1331" i="1" l="1"/>
  <c r="H1331" i="1" s="1"/>
  <c r="F1332" i="1" l="1"/>
  <c r="G1332" i="1" l="1"/>
  <c r="H1332" i="1" s="1"/>
  <c r="F1333" i="1" l="1"/>
  <c r="G1333" i="1" l="1"/>
  <c r="H1333" i="1" s="1"/>
  <c r="F1334" i="1" l="1"/>
  <c r="G1334" i="1" s="1"/>
  <c r="H1334" i="1" s="1"/>
  <c r="F1335" i="1" l="1"/>
  <c r="G1335" i="1" s="1"/>
  <c r="F1336" i="1" s="1"/>
  <c r="H1335" i="1" l="1"/>
  <c r="G1336" i="1"/>
  <c r="H1336" i="1" s="1"/>
  <c r="F1337" i="1" l="1"/>
  <c r="G1337" i="1" s="1"/>
  <c r="H1337" i="1" s="1"/>
  <c r="F1338" i="1" l="1"/>
  <c r="G1338" i="1" s="1"/>
  <c r="H1338" i="1" l="1"/>
  <c r="F1339" i="1"/>
  <c r="G1339" i="1" s="1"/>
  <c r="H1339" i="1" l="1"/>
  <c r="F1340" i="1"/>
  <c r="G1340" i="1" s="1"/>
  <c r="H1340" i="1" l="1"/>
  <c r="F1341" i="1"/>
  <c r="G1341" i="1" s="1"/>
  <c r="H1341" i="1" l="1"/>
  <c r="F1342" i="1"/>
  <c r="G1342" i="1" s="1"/>
  <c r="H1342" i="1" l="1"/>
  <c r="F1343" i="1"/>
  <c r="G1343" i="1" s="1"/>
  <c r="H1343" i="1" l="1"/>
  <c r="F1344" i="1"/>
  <c r="G1344" i="1" s="1"/>
  <c r="H1344" i="1" l="1"/>
  <c r="F1345" i="1"/>
  <c r="G1345" i="1" s="1"/>
  <c r="H1345" i="1" l="1"/>
  <c r="F1346" i="1"/>
  <c r="G1346" i="1" s="1"/>
  <c r="H1346" i="1" l="1"/>
  <c r="F1347" i="1"/>
  <c r="G1347" i="1" s="1"/>
  <c r="H1347" i="1" l="1"/>
  <c r="F1348" i="1"/>
  <c r="G1348" i="1" s="1"/>
  <c r="H1348" i="1" l="1"/>
  <c r="F1349" i="1"/>
  <c r="G1349" i="1" s="1"/>
  <c r="H1349" i="1" l="1"/>
  <c r="F1350" i="1"/>
  <c r="G1350" i="1" s="1"/>
  <c r="H1350" i="1" s="1"/>
  <c r="F1351" i="1" l="1"/>
  <c r="G1351" i="1" s="1"/>
  <c r="F1352" i="1" l="1"/>
  <c r="H1351" i="1"/>
  <c r="G1352" i="1" l="1"/>
  <c r="H1352" i="1" s="1"/>
  <c r="F1353" i="1" l="1"/>
  <c r="G1353" i="1" l="1"/>
  <c r="H1353" i="1" s="1"/>
  <c r="F1354" i="1" l="1"/>
  <c r="G1354" i="1" l="1"/>
  <c r="H1354" i="1" s="1"/>
  <c r="F1355" i="1" l="1"/>
  <c r="G1355" i="1" s="1"/>
  <c r="H1355" i="1" s="1"/>
  <c r="F1356" i="1" l="1"/>
  <c r="G1356" i="1" s="1"/>
  <c r="H1356" i="1" l="1"/>
  <c r="F1357" i="1"/>
  <c r="G1357" i="1" s="1"/>
  <c r="H1357" i="1" l="1"/>
  <c r="F1358" i="1"/>
  <c r="G1358" i="1" s="1"/>
  <c r="H1358" i="1" l="1"/>
  <c r="F1359" i="1"/>
  <c r="G1359" i="1" s="1"/>
  <c r="H1359" i="1" l="1"/>
  <c r="F1360" i="1"/>
  <c r="G1360" i="1" s="1"/>
  <c r="H1360" i="1" l="1"/>
  <c r="F1361" i="1"/>
  <c r="G1361" i="1" s="1"/>
  <c r="H1361" i="1" l="1"/>
  <c r="F1362" i="1"/>
  <c r="G1362" i="1" s="1"/>
  <c r="H1362" i="1" s="1"/>
  <c r="F1363" i="1" l="1"/>
  <c r="G1363" i="1" s="1"/>
  <c r="H1363" i="1" s="1"/>
  <c r="F1364" i="1" l="1"/>
  <c r="G1364" i="1" l="1"/>
  <c r="H1364" i="1" s="1"/>
  <c r="F1365" i="1" l="1"/>
  <c r="G1365" i="1" l="1"/>
  <c r="H1365" i="1" s="1"/>
  <c r="F1366" i="1" l="1"/>
  <c r="G1366" i="1" l="1"/>
  <c r="H1366" i="1" s="1"/>
  <c r="F1367" i="1" l="1"/>
  <c r="G1367" i="1" l="1"/>
  <c r="H1367" i="1" s="1"/>
  <c r="F1368" i="1" l="1"/>
  <c r="G1368" i="1" s="1"/>
  <c r="F1369" i="1" l="1"/>
  <c r="H1368" i="1"/>
  <c r="G1369" i="1" l="1"/>
  <c r="H1369" i="1" s="1"/>
  <c r="F1370" i="1" l="1"/>
  <c r="G1370" i="1" l="1"/>
  <c r="H1370" i="1" s="1"/>
  <c r="F1371" i="1" l="1"/>
  <c r="G1371" i="1" l="1"/>
  <c r="H1371" i="1" s="1"/>
  <c r="F1372" i="1" l="1"/>
  <c r="G1372" i="1" l="1"/>
  <c r="H1372" i="1" s="1"/>
  <c r="F1373" i="1" l="1"/>
  <c r="G1373" i="1" l="1"/>
  <c r="H1373" i="1" s="1"/>
  <c r="F1374" i="1" l="1"/>
  <c r="G1374" i="1" l="1"/>
  <c r="H1374" i="1" s="1"/>
  <c r="F1375" i="1" l="1"/>
  <c r="G1375" i="1" l="1"/>
  <c r="H1375" i="1" s="1"/>
  <c r="F1376" i="1" l="1"/>
  <c r="G1376" i="1" l="1"/>
  <c r="H1376" i="1" s="1"/>
  <c r="F1377" i="1" l="1"/>
  <c r="G1377" i="1" l="1"/>
  <c r="H1377" i="1" s="1"/>
  <c r="F1378" i="1" l="1"/>
  <c r="G1378" i="1" l="1"/>
  <c r="H1378" i="1" s="1"/>
  <c r="F1379" i="1" l="1"/>
  <c r="G1379" i="1" s="1"/>
  <c r="H1379" i="1" s="1"/>
  <c r="F1380" i="1" l="1"/>
  <c r="G1380" i="1" l="1"/>
  <c r="H1380" i="1" s="1"/>
  <c r="F1381" i="1" l="1"/>
  <c r="G1381" i="1" l="1"/>
  <c r="H1381" i="1" s="1"/>
  <c r="F1382" i="1" l="1"/>
  <c r="G1382" i="1" s="1"/>
  <c r="H1382" i="1" s="1"/>
  <c r="F1383" i="1" l="1"/>
  <c r="G1383" i="1" l="1"/>
  <c r="H1383" i="1" s="1"/>
  <c r="F1384" i="1" l="1"/>
  <c r="G1384" i="1" l="1"/>
  <c r="H1384" i="1" s="1"/>
  <c r="F1385" i="1" l="1"/>
  <c r="G1385" i="1" s="1"/>
  <c r="F1386" i="1" l="1"/>
  <c r="H1385" i="1"/>
  <c r="G1386" i="1" l="1"/>
  <c r="H1386" i="1" s="1"/>
  <c r="F1387" i="1" l="1"/>
  <c r="G1387" i="1" l="1"/>
  <c r="H1387" i="1" s="1"/>
  <c r="F1388" i="1" l="1"/>
  <c r="G1388" i="1" l="1"/>
  <c r="H1388" i="1" s="1"/>
  <c r="F1389" i="1" l="1"/>
  <c r="G1389" i="1" l="1"/>
  <c r="H1389" i="1" s="1"/>
  <c r="F1390" i="1" l="1"/>
  <c r="G1390" i="1" l="1"/>
  <c r="H1390" i="1" s="1"/>
  <c r="F1391" i="1" l="1"/>
  <c r="G1391" i="1" l="1"/>
  <c r="H1391" i="1" s="1"/>
  <c r="F1392" i="1" l="1"/>
  <c r="G1392" i="1" l="1"/>
  <c r="H1392" i="1" s="1"/>
  <c r="F1393" i="1" l="1"/>
  <c r="G1393" i="1" l="1"/>
  <c r="H1393" i="1" s="1"/>
  <c r="F1394" i="1" l="1"/>
  <c r="G1394" i="1" s="1"/>
  <c r="H1394" i="1" l="1"/>
  <c r="F1395" i="1"/>
  <c r="G1395" i="1" s="1"/>
  <c r="H1395" i="1" l="1"/>
  <c r="F1396" i="1"/>
  <c r="G1396" i="1" s="1"/>
  <c r="H1396" i="1" l="1"/>
  <c r="F1397" i="1"/>
  <c r="G1397" i="1" s="1"/>
  <c r="H1397" i="1" s="1"/>
  <c r="F1398" i="1" l="1"/>
  <c r="G1398" i="1" s="1"/>
  <c r="H1398" i="1" s="1"/>
  <c r="F1399" i="1" l="1"/>
  <c r="G1399" i="1" s="1"/>
  <c r="H1399" i="1" s="1"/>
  <c r="F1400" i="1" l="1"/>
  <c r="G1400" i="1" s="1"/>
  <c r="H1400" i="1" s="1"/>
  <c r="F1401" i="1" l="1"/>
  <c r="G1401" i="1" s="1"/>
  <c r="H1401" i="1" s="1"/>
  <c r="F1402" i="1" l="1"/>
  <c r="G1402" i="1" s="1"/>
  <c r="F1403" i="1" l="1"/>
  <c r="H1402" i="1"/>
  <c r="G1403" i="1" l="1"/>
  <c r="H1403" i="1" s="1"/>
  <c r="F1404" i="1" l="1"/>
  <c r="G1404" i="1" s="1"/>
  <c r="H1404" i="1" s="1"/>
  <c r="F1405" i="1" l="1"/>
  <c r="G1405" i="1" l="1"/>
  <c r="H1405" i="1" s="1"/>
  <c r="F1406" i="1" l="1"/>
  <c r="G1406" i="1" l="1"/>
  <c r="H1406" i="1" s="1"/>
  <c r="F1407" i="1" l="1"/>
  <c r="G1407" i="1" l="1"/>
  <c r="H1407" i="1" s="1"/>
  <c r="F1408" i="1" l="1"/>
  <c r="G1408" i="1" l="1"/>
  <c r="H1408" i="1" s="1"/>
  <c r="F1409" i="1" l="1"/>
  <c r="G1409" i="1" l="1"/>
  <c r="H1409" i="1" s="1"/>
  <c r="F1410" i="1" l="1"/>
  <c r="G1410" i="1" l="1"/>
  <c r="H1410" i="1" s="1"/>
  <c r="F1411" i="1" l="1"/>
  <c r="G1411" i="1" l="1"/>
  <c r="H1411" i="1" s="1"/>
  <c r="F1412" i="1" l="1"/>
  <c r="G1412" i="1" l="1"/>
  <c r="H1412" i="1" s="1"/>
  <c r="F1413" i="1" l="1"/>
  <c r="G1413" i="1" l="1"/>
  <c r="H1413" i="1" s="1"/>
  <c r="F1414" i="1" l="1"/>
  <c r="G1414" i="1" l="1"/>
  <c r="H1414" i="1" s="1"/>
  <c r="F1415" i="1" l="1"/>
  <c r="G1415" i="1" l="1"/>
  <c r="H1415" i="1" s="1"/>
  <c r="F1416" i="1" l="1"/>
  <c r="G1416" i="1" s="1"/>
  <c r="F1417" i="1" l="1"/>
  <c r="H1416" i="1"/>
  <c r="G1417" i="1" l="1"/>
  <c r="H1417" i="1" s="1"/>
  <c r="F1418" i="1" l="1"/>
  <c r="G1418" i="1" l="1"/>
  <c r="H1418" i="1" s="1"/>
  <c r="F1419" i="1" l="1"/>
  <c r="G1419" i="1" l="1"/>
  <c r="H1419" i="1" s="1"/>
  <c r="F1420" i="1" l="1"/>
  <c r="G1420" i="1" l="1"/>
  <c r="H1420" i="1" s="1"/>
  <c r="F1421" i="1" l="1"/>
  <c r="G1421" i="1" l="1"/>
  <c r="H1421" i="1" s="1"/>
  <c r="F1422" i="1" l="1"/>
  <c r="G1422" i="1" l="1"/>
  <c r="H1422" i="1" s="1"/>
  <c r="F1423" i="1" l="1"/>
  <c r="G1423" i="1" l="1"/>
  <c r="H1423" i="1" s="1"/>
  <c r="F1424" i="1" l="1"/>
  <c r="G1424" i="1" s="1"/>
  <c r="H1424" i="1" l="1"/>
  <c r="F1425" i="1"/>
  <c r="G1425" i="1" s="1"/>
  <c r="H1425" i="1" s="1"/>
  <c r="F1426" i="1" l="1"/>
  <c r="G1426" i="1" l="1"/>
  <c r="H1426" i="1" s="1"/>
  <c r="F1427" i="1" l="1"/>
  <c r="G1427" i="1" l="1"/>
  <c r="H1427" i="1" s="1"/>
  <c r="F1428" i="1" l="1"/>
  <c r="G1428" i="1" l="1"/>
  <c r="H1428" i="1" s="1"/>
  <c r="F1429" i="1" l="1"/>
  <c r="G1429" i="1" s="1"/>
  <c r="H1429" i="1" s="1"/>
  <c r="F1430" i="1" l="1"/>
  <c r="G1430" i="1" s="1"/>
  <c r="H1430" i="1" s="1"/>
  <c r="F1431" i="1" l="1"/>
  <c r="G1431" i="1" s="1"/>
  <c r="H1431" i="1" s="1"/>
  <c r="F1432" i="1" l="1"/>
  <c r="G1432" i="1" l="1"/>
  <c r="H1432" i="1" s="1"/>
  <c r="F1433" i="1" l="1"/>
  <c r="G1433" i="1" s="1"/>
  <c r="H1433" i="1" l="1"/>
  <c r="F1434" i="1"/>
  <c r="G1434" i="1" s="1"/>
  <c r="H1434" i="1" l="1"/>
  <c r="F1435" i="1"/>
  <c r="G1435" i="1" s="1"/>
  <c r="H1435" i="1" s="1"/>
  <c r="F1436" i="1" l="1"/>
  <c r="G1436" i="1" l="1"/>
  <c r="H1436" i="1" s="1"/>
  <c r="F1437" i="1" l="1"/>
  <c r="G1437" i="1" s="1"/>
  <c r="H1437" i="1" s="1"/>
  <c r="F1438" i="1" l="1"/>
  <c r="G1438" i="1" l="1"/>
  <c r="H1438" i="1" s="1"/>
  <c r="F1439" i="1" l="1"/>
  <c r="G1439" i="1" l="1"/>
  <c r="H1439" i="1" s="1"/>
  <c r="F1440" i="1" l="1"/>
  <c r="G1440" i="1" s="1"/>
  <c r="H1440" i="1" s="1"/>
  <c r="F1441" i="1" l="1"/>
  <c r="G1441" i="1" s="1"/>
  <c r="H1441" i="1" l="1"/>
  <c r="F1442" i="1"/>
  <c r="G1442" i="1" s="1"/>
  <c r="F1443" i="1" s="1"/>
  <c r="H1442" i="1" l="1"/>
  <c r="G1443" i="1"/>
  <c r="H1443" i="1" s="1"/>
  <c r="F1444" i="1" l="1"/>
  <c r="G1444" i="1" l="1"/>
  <c r="H1444" i="1" s="1"/>
  <c r="F1445" i="1" l="1"/>
  <c r="G1445" i="1" s="1"/>
  <c r="H1445" i="1" s="1"/>
  <c r="F1446" i="1" l="1"/>
  <c r="G1446" i="1" s="1"/>
  <c r="H1446" i="1" s="1"/>
  <c r="F1447" i="1" l="1"/>
  <c r="G1447" i="1" s="1"/>
  <c r="H1447" i="1" s="1"/>
  <c r="F1448" i="1" l="1"/>
  <c r="G1448" i="1" s="1"/>
  <c r="H1448" i="1" s="1"/>
  <c r="F1449" i="1" l="1"/>
  <c r="G1449" i="1" l="1"/>
  <c r="H1449" i="1" s="1"/>
  <c r="F1450" i="1" l="1"/>
  <c r="G1450" i="1" l="1"/>
  <c r="H1450" i="1" s="1"/>
  <c r="F1451" i="1" l="1"/>
  <c r="G1451" i="1" l="1"/>
  <c r="H1451" i="1" s="1"/>
  <c r="F1452" i="1" l="1"/>
  <c r="G1452" i="1" l="1"/>
  <c r="H1452" i="1" s="1"/>
  <c r="F1453" i="1" l="1"/>
  <c r="G1453" i="1" l="1"/>
  <c r="H1453" i="1" s="1"/>
  <c r="F1454" i="1" l="1"/>
  <c r="G1454" i="1" l="1"/>
  <c r="H1454" i="1" s="1"/>
  <c r="F1455" i="1" l="1"/>
  <c r="G1455" i="1" s="1"/>
  <c r="H1455" i="1" s="1"/>
  <c r="F1456" i="1" l="1"/>
  <c r="G1456" i="1" s="1"/>
  <c r="F1457" i="1" s="1"/>
  <c r="H1456" i="1" l="1"/>
  <c r="G1457" i="1"/>
  <c r="H1457" i="1" s="1"/>
  <c r="F1458" i="1" l="1"/>
  <c r="G1458" i="1" s="1"/>
  <c r="H1458" i="1" s="1"/>
  <c r="F1459" i="1" l="1"/>
  <c r="G1459" i="1" s="1"/>
  <c r="H1459" i="1" l="1"/>
  <c r="F1460" i="1"/>
  <c r="G1460" i="1" s="1"/>
  <c r="H1460" i="1" s="1"/>
  <c r="F1461" i="1" l="1"/>
  <c r="G1461" i="1" l="1"/>
  <c r="H1461" i="1" s="1"/>
  <c r="F1462" i="1" l="1"/>
  <c r="G1462" i="1" l="1"/>
  <c r="H1462" i="1" s="1"/>
  <c r="F1463" i="1" l="1"/>
  <c r="G1463" i="1" l="1"/>
  <c r="H1463" i="1" s="1"/>
  <c r="F1464" i="1" l="1"/>
  <c r="G1464" i="1" l="1"/>
  <c r="H1464" i="1" s="1"/>
  <c r="F1465" i="1" l="1"/>
  <c r="G1465" i="1" l="1"/>
  <c r="H1465" i="1" s="1"/>
  <c r="F1466" i="1" l="1"/>
  <c r="G1466" i="1" l="1"/>
  <c r="H1466" i="1" s="1"/>
  <c r="F1467" i="1" l="1"/>
  <c r="G1467" i="1" l="1"/>
  <c r="H1467" i="1" s="1"/>
  <c r="F1468" i="1" l="1"/>
  <c r="G1468" i="1" l="1"/>
  <c r="H1468" i="1" s="1"/>
  <c r="F1469" i="1" l="1"/>
  <c r="G1469" i="1" s="1"/>
  <c r="H1469" i="1" s="1"/>
  <c r="F1470" i="1" l="1"/>
  <c r="G1470" i="1" l="1"/>
  <c r="H1470" i="1" s="1"/>
  <c r="F1471" i="1" l="1"/>
  <c r="G1471" i="1" l="1"/>
  <c r="H1471" i="1" s="1"/>
  <c r="F1472" i="1" l="1"/>
  <c r="G1472" i="1" s="1"/>
  <c r="F1473" i="1" l="1"/>
  <c r="H1472" i="1"/>
  <c r="G1473" i="1" l="1"/>
  <c r="H1473" i="1" s="1"/>
  <c r="F1474" i="1" l="1"/>
  <c r="G1474" i="1" l="1"/>
  <c r="H1474" i="1" s="1"/>
  <c r="F1475" i="1" l="1"/>
  <c r="G1475" i="1" l="1"/>
  <c r="H1475" i="1" s="1"/>
  <c r="F1476" i="1" l="1"/>
  <c r="G1476" i="1" l="1"/>
  <c r="H1476" i="1" s="1"/>
  <c r="F1477" i="1" l="1"/>
  <c r="G1477" i="1" l="1"/>
  <c r="H1477" i="1" s="1"/>
  <c r="F1478" i="1" l="1"/>
  <c r="G1478" i="1" l="1"/>
  <c r="H1478" i="1" s="1"/>
  <c r="F1479" i="1" l="1"/>
  <c r="G1479" i="1" l="1"/>
  <c r="H1479" i="1" s="1"/>
  <c r="F1480" i="1" l="1"/>
  <c r="G1480" i="1" l="1"/>
  <c r="H1480" i="1" s="1"/>
  <c r="F1481" i="1" l="1"/>
  <c r="G1481" i="1" l="1"/>
  <c r="H1481" i="1" s="1"/>
  <c r="F1482" i="1" l="1"/>
  <c r="G1482" i="1" l="1"/>
  <c r="H1482" i="1" s="1"/>
  <c r="F1483" i="1" l="1"/>
  <c r="G1483" i="1" l="1"/>
  <c r="H1483" i="1" s="1"/>
  <c r="F1484" i="1" l="1"/>
  <c r="G1484" i="1" l="1"/>
  <c r="H1484" i="1" s="1"/>
  <c r="F1485" i="1" l="1"/>
  <c r="G1485" i="1" l="1"/>
  <c r="H1485" i="1" s="1"/>
  <c r="F1486" i="1" l="1"/>
  <c r="G1486" i="1" s="1"/>
  <c r="H1486" i="1" s="1"/>
  <c r="F1487" i="1" l="1"/>
  <c r="G1487" i="1" l="1"/>
  <c r="H1487" i="1" s="1"/>
  <c r="F1488" i="1" l="1"/>
  <c r="G1488" i="1" s="1"/>
  <c r="F1489" i="1" l="1"/>
  <c r="H1488" i="1"/>
  <c r="G1489" i="1" l="1"/>
  <c r="H1489" i="1" s="1"/>
  <c r="F1490" i="1" l="1"/>
  <c r="G1490" i="1" s="1"/>
  <c r="H1490" i="1" s="1"/>
  <c r="F1491" i="1" l="1"/>
  <c r="G1491" i="1" l="1"/>
  <c r="H1491" i="1" s="1"/>
  <c r="F1492" i="1" l="1"/>
  <c r="G1492" i="1" l="1"/>
  <c r="H1492" i="1" s="1"/>
  <c r="F1493" i="1" l="1"/>
  <c r="G1493" i="1" s="1"/>
  <c r="H1493" i="1" s="1"/>
  <c r="F1494" i="1" l="1"/>
  <c r="G1494" i="1" s="1"/>
  <c r="H1494" i="1" s="1"/>
  <c r="F1495" i="1" l="1"/>
  <c r="G1495" i="1" s="1"/>
  <c r="H1495" i="1" s="1"/>
  <c r="F1496" i="1" l="1"/>
  <c r="G1496" i="1" s="1"/>
  <c r="H1496" i="1" l="1"/>
  <c r="F1497" i="1"/>
  <c r="G1497" i="1" s="1"/>
  <c r="H1497" i="1" l="1"/>
  <c r="F1498" i="1"/>
  <c r="G1498" i="1" s="1"/>
  <c r="H1498" i="1" s="1"/>
  <c r="F1499" i="1" l="1"/>
  <c r="G1499" i="1" s="1"/>
  <c r="H1499" i="1" s="1"/>
  <c r="F1500" i="1" l="1"/>
  <c r="G1500" i="1" l="1"/>
  <c r="H1500" i="1" s="1"/>
  <c r="F1501" i="1" l="1"/>
  <c r="G1501" i="1" s="1"/>
  <c r="H1501" i="1" s="1"/>
  <c r="F1502" i="1" l="1"/>
  <c r="G1502" i="1" s="1"/>
  <c r="H1502" i="1" l="1"/>
  <c r="F1503" i="1"/>
  <c r="G1503" i="1" s="1"/>
  <c r="F1504" i="1" s="1"/>
  <c r="H1503" i="1" l="1"/>
  <c r="G1504" i="1"/>
  <c r="H1504" i="1" s="1"/>
  <c r="F1505" i="1" l="1"/>
  <c r="G1505" i="1" s="1"/>
  <c r="H1505" i="1" s="1"/>
  <c r="F1506" i="1" l="1"/>
  <c r="G1506" i="1" s="1"/>
  <c r="H1506" i="1" s="1"/>
  <c r="F1507" i="1" l="1"/>
  <c r="G1507" i="1" s="1"/>
  <c r="H1507" i="1" s="1"/>
  <c r="F1508" i="1" l="1"/>
  <c r="G1508" i="1" s="1"/>
  <c r="H1508" i="1" s="1"/>
  <c r="F1509" i="1" l="1"/>
  <c r="G1509" i="1" l="1"/>
  <c r="H1509" i="1" s="1"/>
  <c r="F1510" i="1" l="1"/>
  <c r="G1510" i="1" l="1"/>
  <c r="H1510" i="1" s="1"/>
  <c r="F1511" i="1" l="1"/>
  <c r="G1511" i="1" l="1"/>
  <c r="H1511" i="1" s="1"/>
  <c r="F1512" i="1" l="1"/>
  <c r="G1512" i="1" l="1"/>
  <c r="H1512" i="1" s="1"/>
  <c r="F1513" i="1" l="1"/>
  <c r="G1513" i="1" l="1"/>
  <c r="H1513" i="1" s="1"/>
  <c r="F1514" i="1" l="1"/>
  <c r="G1514" i="1" l="1"/>
  <c r="H1514" i="1" s="1"/>
  <c r="F1515" i="1" l="1"/>
  <c r="G1515" i="1" l="1"/>
  <c r="H1515" i="1" s="1"/>
  <c r="F1516" i="1" l="1"/>
  <c r="G1516" i="1" l="1"/>
  <c r="H1516" i="1" s="1"/>
  <c r="F1517" i="1" l="1"/>
  <c r="G1517" i="1" l="1"/>
  <c r="H1517" i="1" s="1"/>
  <c r="F1518" i="1" l="1"/>
  <c r="G1518" i="1" s="1"/>
  <c r="F1519" i="1" l="1"/>
  <c r="H1518" i="1"/>
  <c r="G1519" i="1" l="1"/>
  <c r="H1519" i="1" s="1"/>
  <c r="F1520" i="1" l="1"/>
  <c r="G1520" i="1" l="1"/>
  <c r="H1520" i="1" s="1"/>
  <c r="F1521" i="1" l="1"/>
  <c r="G1521" i="1" l="1"/>
  <c r="H1521" i="1" s="1"/>
  <c r="F1522" i="1" l="1"/>
  <c r="G1522" i="1" l="1"/>
  <c r="H1522" i="1" s="1"/>
  <c r="F1523" i="1" l="1"/>
  <c r="G1523" i="1" l="1"/>
  <c r="H1523" i="1" s="1"/>
  <c r="F1524" i="1" l="1"/>
  <c r="G1524" i="1" l="1"/>
  <c r="H1524" i="1" s="1"/>
  <c r="F1525" i="1" l="1"/>
  <c r="G1525" i="1" l="1"/>
  <c r="H1525" i="1" s="1"/>
  <c r="F1526" i="1" l="1"/>
  <c r="G1526" i="1" s="1"/>
  <c r="H1526" i="1" s="1"/>
  <c r="F1527" i="1" l="1"/>
  <c r="G1527" i="1" l="1"/>
  <c r="H1527" i="1" s="1"/>
  <c r="F1528" i="1" l="1"/>
  <c r="G1528" i="1" s="1"/>
  <c r="H1528" i="1" s="1"/>
  <c r="F1529" i="1" l="1"/>
  <c r="G1529" i="1" l="1"/>
  <c r="H1529" i="1" s="1"/>
  <c r="F1530" i="1" l="1"/>
  <c r="G1530" i="1" l="1"/>
  <c r="H1530" i="1" s="1"/>
  <c r="F1531" i="1" l="1"/>
  <c r="G1531" i="1" l="1"/>
  <c r="H1531" i="1" s="1"/>
  <c r="F1532" i="1" l="1"/>
  <c r="G1532" i="1" l="1"/>
  <c r="H1532" i="1" s="1"/>
  <c r="F1533" i="1" l="1"/>
  <c r="G1533" i="1" s="1"/>
  <c r="F1534" i="1" l="1"/>
  <c r="H1533" i="1"/>
  <c r="G1534" i="1" l="1"/>
  <c r="H1534" i="1" s="1"/>
  <c r="F1535" i="1" l="1"/>
  <c r="G1535" i="1" l="1"/>
  <c r="H1535" i="1" s="1"/>
  <c r="F1536" i="1" l="1"/>
  <c r="G1536" i="1" l="1"/>
  <c r="H1536" i="1" s="1"/>
  <c r="F1537" i="1" l="1"/>
  <c r="G1537" i="1" l="1"/>
  <c r="H1537" i="1" s="1"/>
  <c r="F1538" i="1" l="1"/>
  <c r="G1538" i="1" l="1"/>
  <c r="H1538" i="1" s="1"/>
  <c r="F1539" i="1" l="1"/>
  <c r="G1539" i="1" s="1"/>
  <c r="H1539" i="1" s="1"/>
  <c r="F1540" i="1" l="1"/>
  <c r="G1540" i="1" l="1"/>
  <c r="H1540" i="1" s="1"/>
  <c r="F1541" i="1" l="1"/>
  <c r="G1541" i="1" s="1"/>
  <c r="H1541" i="1" s="1"/>
  <c r="F1542" i="1" l="1"/>
  <c r="G1542" i="1" s="1"/>
  <c r="H1542" i="1" s="1"/>
  <c r="F1543" i="1" l="1"/>
  <c r="G1543" i="1" s="1"/>
  <c r="H1543" i="1" s="1"/>
  <c r="F1544" i="1" l="1"/>
  <c r="G1544" i="1" s="1"/>
  <c r="H1544" i="1" s="1"/>
  <c r="F1545" i="1" l="1"/>
  <c r="G1545" i="1" s="1"/>
  <c r="H1545" i="1" l="1"/>
  <c r="F1546" i="1"/>
  <c r="G1546" i="1" s="1"/>
  <c r="H1546" i="1" l="1"/>
  <c r="F1547" i="1"/>
  <c r="G1547" i="1" s="1"/>
  <c r="H1547" i="1" s="1"/>
  <c r="F1548" i="1" l="1"/>
  <c r="G1548" i="1" s="1"/>
  <c r="F1549" i="1" s="1"/>
  <c r="H1548" i="1" l="1"/>
  <c r="G1549" i="1"/>
  <c r="H1549" i="1" s="1"/>
  <c r="F1550" i="1" l="1"/>
  <c r="G1550" i="1" s="1"/>
  <c r="H1550" i="1" s="1"/>
  <c r="F1551" i="1" l="1"/>
  <c r="G1551" i="1" l="1"/>
  <c r="H1551" i="1" s="1"/>
  <c r="F1552" i="1" l="1"/>
  <c r="G1552" i="1" s="1"/>
  <c r="H1552" i="1" s="1"/>
  <c r="F1553" i="1" l="1"/>
  <c r="G1553" i="1" s="1"/>
  <c r="H1553" i="1" s="1"/>
  <c r="F1554" i="1" l="1"/>
  <c r="G1554" i="1" s="1"/>
  <c r="H1554" i="1" s="1"/>
  <c r="F1555" i="1" l="1"/>
  <c r="G1555" i="1" s="1"/>
  <c r="H1555" i="1" s="1"/>
  <c r="F1556" i="1" l="1"/>
  <c r="G1556" i="1" l="1"/>
  <c r="H1556" i="1" s="1"/>
  <c r="F1557" i="1" l="1"/>
  <c r="G1557" i="1" l="1"/>
  <c r="H1557" i="1" s="1"/>
  <c r="F1558" i="1" l="1"/>
  <c r="G1558" i="1" l="1"/>
  <c r="H1558" i="1" s="1"/>
  <c r="F1559" i="1" l="1"/>
  <c r="G1559" i="1" s="1"/>
  <c r="H1559" i="1" s="1"/>
  <c r="F1560" i="1" l="1"/>
  <c r="G1560" i="1" l="1"/>
  <c r="H1560" i="1" s="1"/>
  <c r="F1561" i="1" l="1"/>
  <c r="G1561" i="1" l="1"/>
  <c r="H1561" i="1" s="1"/>
  <c r="F1562" i="1" l="1"/>
  <c r="G1562" i="1" s="1"/>
  <c r="H1562" i="1" s="1"/>
  <c r="F1563" i="1" l="1"/>
  <c r="G1563" i="1" s="1"/>
  <c r="F1564" i="1" l="1"/>
  <c r="H1563" i="1"/>
  <c r="G1564" i="1" l="1"/>
  <c r="H1564" i="1" s="1"/>
  <c r="F1565" i="1" l="1"/>
  <c r="G1565" i="1" l="1"/>
  <c r="H1565" i="1" s="1"/>
  <c r="F1566" i="1" l="1"/>
  <c r="G1566" i="1" s="1"/>
  <c r="H1566" i="1" s="1"/>
  <c r="F1567" i="1" l="1"/>
  <c r="G1567" i="1" s="1"/>
  <c r="H1567" i="1" l="1"/>
  <c r="F1568" i="1"/>
  <c r="G1568" i="1" s="1"/>
  <c r="H1568" i="1" s="1"/>
  <c r="F1569" i="1" l="1"/>
  <c r="G1569" i="1" s="1"/>
  <c r="H1569" i="1" s="1"/>
  <c r="F1570" i="1" l="1"/>
  <c r="G1570" i="1" s="1"/>
  <c r="H1570" i="1" l="1"/>
  <c r="F1571" i="1"/>
  <c r="G1571" i="1" s="1"/>
  <c r="H1571" i="1" l="1"/>
  <c r="F1572" i="1"/>
  <c r="G1572" i="1" s="1"/>
  <c r="H1572" i="1" l="1"/>
  <c r="F1573" i="1"/>
  <c r="G1573" i="1" s="1"/>
  <c r="H1573" i="1" l="1"/>
  <c r="F1574" i="1"/>
  <c r="G1574" i="1" s="1"/>
  <c r="H1574" i="1" l="1"/>
  <c r="F1575" i="1"/>
  <c r="G1575" i="1" s="1"/>
  <c r="H1575" i="1" l="1"/>
  <c r="F1576" i="1"/>
  <c r="G1576" i="1" s="1"/>
  <c r="H1576" i="1" l="1"/>
  <c r="F1577" i="1"/>
  <c r="G1577" i="1" s="1"/>
  <c r="H1577" i="1" s="1"/>
  <c r="F1578" i="1" l="1"/>
  <c r="G1578" i="1" s="1"/>
  <c r="F1579" i="1" l="1"/>
  <c r="H1578" i="1"/>
  <c r="G1579" i="1" l="1"/>
  <c r="H1579" i="1" s="1"/>
  <c r="F1580" i="1" l="1"/>
  <c r="G1580" i="1" l="1"/>
  <c r="H1580" i="1" s="1"/>
  <c r="F1581" i="1" l="1"/>
  <c r="G1581" i="1" l="1"/>
  <c r="H1581" i="1" s="1"/>
  <c r="F1582" i="1" l="1"/>
  <c r="G1582" i="1" s="1"/>
  <c r="H1582" i="1" s="1"/>
  <c r="F1583" i="1" l="1"/>
  <c r="G1583" i="1" s="1"/>
  <c r="H1583" i="1" s="1"/>
  <c r="F1584" i="1" l="1"/>
  <c r="G1584" i="1" l="1"/>
  <c r="H1584" i="1" s="1"/>
  <c r="F1585" i="1" l="1"/>
  <c r="G1585" i="1" l="1"/>
  <c r="H1585" i="1" s="1"/>
  <c r="F1586" i="1" l="1"/>
  <c r="G1586" i="1" s="1"/>
  <c r="H1586" i="1" s="1"/>
  <c r="F1587" i="1" l="1"/>
  <c r="G1587" i="1" s="1"/>
  <c r="H1587" i="1" s="1"/>
  <c r="F1588" i="1" l="1"/>
  <c r="G1588" i="1" l="1"/>
  <c r="H1588" i="1" s="1"/>
  <c r="F1589" i="1" l="1"/>
  <c r="G1589" i="1" s="1"/>
  <c r="H1589" i="1" s="1"/>
  <c r="F1590" i="1" l="1"/>
  <c r="G1590" i="1" s="1"/>
  <c r="H1590" i="1" s="1"/>
  <c r="F1591" i="1" l="1"/>
  <c r="G1591" i="1" l="1"/>
  <c r="H1591" i="1" s="1"/>
  <c r="F1592" i="1" l="1"/>
  <c r="G1592" i="1" s="1"/>
  <c r="H1592" i="1" s="1"/>
  <c r="F1593" i="1" l="1"/>
  <c r="G1593" i="1" l="1"/>
  <c r="H1593" i="1" s="1"/>
  <c r="F1594" i="1" l="1"/>
  <c r="G1594" i="1" s="1"/>
  <c r="H1594" i="1" s="1"/>
  <c r="F1595" i="1" l="1"/>
  <c r="G1595" i="1" s="1"/>
  <c r="H1595" i="1" s="1"/>
  <c r="F1596" i="1" l="1"/>
  <c r="G1596" i="1" s="1"/>
  <c r="H1596" i="1" s="1"/>
  <c r="F1597" i="1" l="1"/>
  <c r="G1597" i="1" s="1"/>
  <c r="H1597" i="1" s="1"/>
  <c r="F1598" i="1" l="1"/>
  <c r="G1598" i="1" s="1"/>
  <c r="H1598" i="1" s="1"/>
  <c r="F1599" i="1" l="1"/>
  <c r="G1599" i="1" l="1"/>
  <c r="H1599" i="1" s="1"/>
  <c r="F1600" i="1" l="1"/>
  <c r="G1600" i="1" l="1"/>
  <c r="H1600" i="1" s="1"/>
  <c r="F1601" i="1" l="1"/>
  <c r="G1601" i="1" l="1"/>
  <c r="H1601" i="1" s="1"/>
  <c r="F1602" i="1" l="1"/>
  <c r="G1602" i="1" s="1"/>
  <c r="H1602" i="1" l="1"/>
  <c r="F1603" i="1"/>
  <c r="G1603" i="1" s="1"/>
  <c r="H1603" i="1" s="1"/>
  <c r="F1604" i="1" l="1"/>
  <c r="G1604" i="1" s="1"/>
  <c r="H1604" i="1" s="1"/>
  <c r="F1605" i="1" l="1"/>
  <c r="G1605" i="1" s="1"/>
  <c r="H1605" i="1" s="1"/>
  <c r="F1606" i="1" l="1"/>
  <c r="G1606" i="1" s="1"/>
  <c r="H1606" i="1" l="1"/>
  <c r="F1607" i="1"/>
  <c r="G1607" i="1" s="1"/>
  <c r="H1607" i="1" s="1"/>
  <c r="F1608" i="1" l="1"/>
  <c r="G1608" i="1" s="1"/>
  <c r="H1608" i="1" s="1"/>
  <c r="F1609" i="1" l="1"/>
  <c r="G1609" i="1" s="1"/>
  <c r="F1610" i="1" l="1"/>
  <c r="H1609" i="1"/>
  <c r="G1610" i="1" l="1"/>
  <c r="H1610" i="1" s="1"/>
  <c r="F1611" i="1" l="1"/>
  <c r="G1611" i="1" l="1"/>
  <c r="H1611" i="1" s="1"/>
  <c r="F1612" i="1" l="1"/>
  <c r="G1612" i="1" l="1"/>
  <c r="H1612" i="1" s="1"/>
  <c r="F1613" i="1" l="1"/>
  <c r="G1613" i="1" s="1"/>
  <c r="H1613" i="1" s="1"/>
  <c r="F1614" i="1" l="1"/>
  <c r="G1614" i="1" s="1"/>
  <c r="H1614" i="1" s="1"/>
  <c r="F1615" i="1" l="1"/>
  <c r="G1615" i="1" s="1"/>
  <c r="H1615" i="1" s="1"/>
  <c r="F1616" i="1" l="1"/>
  <c r="G1616" i="1" s="1"/>
  <c r="H1616" i="1" s="1"/>
  <c r="F1617" i="1" l="1"/>
  <c r="G1617" i="1" s="1"/>
  <c r="H1617" i="1" s="1"/>
  <c r="F1618" i="1" l="1"/>
  <c r="G1618" i="1" l="1"/>
  <c r="H1618" i="1" s="1"/>
  <c r="F1619" i="1" l="1"/>
  <c r="G1619" i="1" s="1"/>
  <c r="H1619" i="1" l="1"/>
  <c r="F1620" i="1"/>
  <c r="G1620" i="1" s="1"/>
  <c r="H1620" i="1" s="1"/>
  <c r="F1621" i="1" l="1"/>
  <c r="G1621" i="1" s="1"/>
  <c r="H1621" i="1" s="1"/>
  <c r="F1622" i="1" l="1"/>
  <c r="G1622" i="1" l="1"/>
  <c r="H1622" i="1" s="1"/>
  <c r="F1623" i="1" l="1"/>
  <c r="G1623" i="1" l="1"/>
  <c r="H1623" i="1" s="1"/>
  <c r="F1624" i="1" l="1"/>
  <c r="G1624" i="1" s="1"/>
  <c r="F1625" i="1" l="1"/>
  <c r="H1624" i="1"/>
  <c r="G1625" i="1" l="1"/>
  <c r="H1625" i="1" s="1"/>
  <c r="F1626" i="1" l="1"/>
  <c r="G1626" i="1" l="1"/>
  <c r="H1626" i="1" s="1"/>
  <c r="F1627" i="1" l="1"/>
  <c r="G1627" i="1" l="1"/>
  <c r="H1627" i="1" s="1"/>
  <c r="F1628" i="1" l="1"/>
  <c r="G1628" i="1" l="1"/>
  <c r="H1628" i="1" s="1"/>
  <c r="F1629" i="1" l="1"/>
  <c r="G1629" i="1" l="1"/>
  <c r="H1629" i="1" s="1"/>
  <c r="F1630" i="1" l="1"/>
  <c r="G1630" i="1" l="1"/>
  <c r="H1630" i="1" s="1"/>
  <c r="F1631" i="1" l="1"/>
  <c r="G1631" i="1" l="1"/>
  <c r="H1631" i="1" s="1"/>
  <c r="F1632" i="1" l="1"/>
  <c r="G1632" i="1" l="1"/>
  <c r="H1632" i="1" s="1"/>
  <c r="F1633" i="1" l="1"/>
  <c r="G1633" i="1" l="1"/>
  <c r="H1633" i="1" s="1"/>
  <c r="F1634" i="1" l="1"/>
  <c r="G1634" i="1" l="1"/>
  <c r="H1634" i="1" s="1"/>
  <c r="F1635" i="1" l="1"/>
  <c r="G1635" i="1" l="1"/>
  <c r="H1635" i="1" s="1"/>
  <c r="F1636" i="1" l="1"/>
  <c r="G1636" i="1" l="1"/>
  <c r="H1636" i="1" s="1"/>
  <c r="F1637" i="1" l="1"/>
  <c r="G1637" i="1" l="1"/>
  <c r="H1637" i="1" s="1"/>
  <c r="F1638" i="1" l="1"/>
  <c r="G1638" i="1" l="1"/>
  <c r="H1638" i="1" s="1"/>
  <c r="F1639" i="1" l="1"/>
  <c r="G1639" i="1" s="1"/>
  <c r="H1639" i="1" l="1"/>
  <c r="F1640" i="1"/>
  <c r="G1640" i="1" l="1"/>
  <c r="H1640" i="1" s="1"/>
  <c r="F1641" i="1" l="1"/>
  <c r="G1641" i="1" l="1"/>
  <c r="H1641" i="1" s="1"/>
  <c r="F1642" i="1" l="1"/>
  <c r="G1642" i="1" l="1"/>
  <c r="H1642" i="1" s="1"/>
  <c r="F1643" i="1" l="1"/>
  <c r="G1643" i="1" l="1"/>
  <c r="H1643" i="1" s="1"/>
  <c r="F1644" i="1" l="1"/>
  <c r="G1644" i="1" s="1"/>
  <c r="H1644" i="1" s="1"/>
  <c r="F1645" i="1" l="1"/>
  <c r="G1645" i="1" s="1"/>
  <c r="H1645" i="1" s="1"/>
  <c r="F1646" i="1" l="1"/>
  <c r="G1646" i="1" s="1"/>
  <c r="H1646" i="1" s="1"/>
  <c r="F1647" i="1" l="1"/>
  <c r="G1647" i="1" l="1"/>
  <c r="H1647" i="1" s="1"/>
  <c r="F1648" i="1" l="1"/>
  <c r="G1648" i="1" l="1"/>
  <c r="H1648" i="1" s="1"/>
  <c r="F1649" i="1" l="1"/>
  <c r="G1649" i="1" l="1"/>
  <c r="H1649" i="1" s="1"/>
  <c r="F1650" i="1" l="1"/>
  <c r="G1650" i="1" s="1"/>
  <c r="H1650" i="1" s="1"/>
  <c r="F1651" i="1" l="1"/>
  <c r="G1651" i="1" s="1"/>
  <c r="H1651" i="1" s="1"/>
  <c r="F1652" i="1" l="1"/>
  <c r="G1652" i="1" l="1"/>
  <c r="H1652" i="1" s="1"/>
  <c r="F1653" i="1" l="1"/>
  <c r="G1653" i="1" s="1"/>
  <c r="H1653" i="1" s="1"/>
  <c r="F1654" i="1" l="1"/>
  <c r="G1654" i="1" s="1"/>
  <c r="F1655" i="1" l="1"/>
  <c r="H1654" i="1"/>
  <c r="G1655" i="1" l="1"/>
  <c r="H1655" i="1" s="1"/>
  <c r="F1656" i="1" l="1"/>
  <c r="G1656" i="1" s="1"/>
  <c r="H1656" i="1" s="1"/>
  <c r="F1657" i="1" l="1"/>
  <c r="G1657" i="1" l="1"/>
  <c r="H1657" i="1" s="1"/>
  <c r="F1658" i="1" l="1"/>
  <c r="G1658" i="1" s="1"/>
  <c r="H1658" i="1" s="1"/>
  <c r="F1659" i="1" l="1"/>
  <c r="G1659" i="1" l="1"/>
  <c r="H1659" i="1" s="1"/>
  <c r="F1660" i="1" l="1"/>
  <c r="G1660" i="1" l="1"/>
  <c r="H1660" i="1" s="1"/>
  <c r="F1661" i="1" l="1"/>
  <c r="G1661" i="1" s="1"/>
  <c r="H1661" i="1" s="1"/>
  <c r="F1662" i="1" l="1"/>
  <c r="G1662" i="1" l="1"/>
  <c r="H1662" i="1" s="1"/>
  <c r="F1663" i="1" l="1"/>
  <c r="G1663" i="1" l="1"/>
  <c r="H1663" i="1" s="1"/>
  <c r="F1664" i="1" l="1"/>
  <c r="G1664" i="1" s="1"/>
  <c r="H1664" i="1" s="1"/>
  <c r="F1665" i="1" l="1"/>
  <c r="G1665" i="1" l="1"/>
  <c r="H1665" i="1" s="1"/>
  <c r="F1666" i="1" l="1"/>
  <c r="G1666" i="1" l="1"/>
  <c r="H1666" i="1" s="1"/>
  <c r="F1667" i="1" l="1"/>
  <c r="G1667" i="1" s="1"/>
  <c r="H1667" i="1" s="1"/>
  <c r="F1668" i="1" l="1"/>
  <c r="G1668" i="1" s="1"/>
  <c r="F1669" i="1" l="1"/>
  <c r="H1668" i="1"/>
  <c r="G1669" i="1" l="1"/>
  <c r="H1669" i="1" s="1"/>
  <c r="F1670" i="1" l="1"/>
  <c r="G1670" i="1" l="1"/>
  <c r="H1670" i="1" s="1"/>
  <c r="F1671" i="1" l="1"/>
  <c r="G1671" i="1" l="1"/>
  <c r="H1671" i="1" s="1"/>
  <c r="F1672" i="1" l="1"/>
  <c r="G1672" i="1" l="1"/>
  <c r="H1672" i="1" s="1"/>
  <c r="F1673" i="1" l="1"/>
  <c r="G1673" i="1" l="1"/>
  <c r="H1673" i="1" s="1"/>
  <c r="F1674" i="1" l="1"/>
  <c r="G1674" i="1" l="1"/>
  <c r="H1674" i="1" s="1"/>
  <c r="F1675" i="1" l="1"/>
  <c r="G1675" i="1" l="1"/>
  <c r="H1675" i="1" s="1"/>
  <c r="F1676" i="1" l="1"/>
  <c r="G1676" i="1" l="1"/>
  <c r="H1676" i="1" s="1"/>
  <c r="F1677" i="1" l="1"/>
  <c r="G1677" i="1" s="1"/>
  <c r="H1677" i="1" s="1"/>
  <c r="F1678" i="1" l="1"/>
  <c r="G1678" i="1" s="1"/>
  <c r="H1678" i="1" s="1"/>
  <c r="F1679" i="1" l="1"/>
  <c r="G1679" i="1" s="1"/>
  <c r="H1679" i="1" s="1"/>
  <c r="F1680" i="1" l="1"/>
  <c r="G1680" i="1" l="1"/>
  <c r="H1680" i="1" s="1"/>
  <c r="F1681" i="1" l="1"/>
  <c r="G1681" i="1" s="1"/>
  <c r="H1681" i="1" s="1"/>
  <c r="F1682" i="1" l="1"/>
  <c r="G1682" i="1" l="1"/>
  <c r="H1682" i="1" s="1"/>
  <c r="F1683" i="1" l="1"/>
  <c r="G1683" i="1" s="1"/>
  <c r="F1684" i="1" l="1"/>
  <c r="H1683" i="1"/>
  <c r="G1684" i="1" l="1"/>
  <c r="H1684" i="1" s="1"/>
  <c r="F1685" i="1" l="1"/>
  <c r="G1685" i="1" s="1"/>
  <c r="H1685" i="1" s="1"/>
  <c r="F1686" i="1" l="1"/>
  <c r="G1686" i="1" l="1"/>
  <c r="H1686" i="1" s="1"/>
  <c r="F1687" i="1" l="1"/>
  <c r="G1687" i="1" l="1"/>
  <c r="H1687" i="1" s="1"/>
  <c r="F1688" i="1" l="1"/>
  <c r="G1688" i="1" l="1"/>
  <c r="H1688" i="1" s="1"/>
  <c r="F1689" i="1" l="1"/>
  <c r="G1689" i="1" l="1"/>
  <c r="H1689" i="1" s="1"/>
  <c r="F1690" i="1" l="1"/>
  <c r="G1690" i="1" l="1"/>
  <c r="H1690" i="1" s="1"/>
  <c r="F1691" i="1" l="1"/>
  <c r="G1691" i="1" l="1"/>
  <c r="H1691" i="1" s="1"/>
  <c r="F1692" i="1" l="1"/>
  <c r="G1692" i="1" l="1"/>
  <c r="H1692" i="1" s="1"/>
  <c r="F1693" i="1" l="1"/>
  <c r="G1693" i="1" l="1"/>
  <c r="H1693" i="1" s="1"/>
  <c r="F1694" i="1" l="1"/>
  <c r="G1694" i="1" l="1"/>
  <c r="H1694" i="1" s="1"/>
  <c r="F1695" i="1" l="1"/>
  <c r="G1695" i="1" l="1"/>
  <c r="H1695" i="1" s="1"/>
  <c r="F1696" i="1" l="1"/>
  <c r="G1696" i="1" l="1"/>
  <c r="H1696" i="1" s="1"/>
  <c r="F1697" i="1" l="1"/>
  <c r="G1697" i="1" l="1"/>
  <c r="H1697" i="1" s="1"/>
  <c r="F1698" i="1" l="1"/>
  <c r="G1698" i="1" s="1"/>
  <c r="F1699" i="1" l="1"/>
  <c r="H1698" i="1"/>
  <c r="G1699" i="1" l="1"/>
  <c r="H1699" i="1" s="1"/>
  <c r="F1700" i="1" l="1"/>
  <c r="G1700" i="1" l="1"/>
  <c r="H1700" i="1" s="1"/>
  <c r="F1701" i="1" l="1"/>
  <c r="G1701" i="1" l="1"/>
  <c r="H1701" i="1" s="1"/>
  <c r="F1702" i="1" l="1"/>
  <c r="G1702" i="1" s="1"/>
  <c r="H1702" i="1" s="1"/>
  <c r="F1703" i="1" l="1"/>
  <c r="G1703" i="1" l="1"/>
  <c r="H1703" i="1" s="1"/>
  <c r="F1704" i="1" l="1"/>
  <c r="G1704" i="1" l="1"/>
  <c r="H1704" i="1" s="1"/>
  <c r="F1705" i="1" l="1"/>
  <c r="G1705" i="1" l="1"/>
  <c r="H1705" i="1" s="1"/>
  <c r="F1706" i="1" l="1"/>
  <c r="G1706" i="1" l="1"/>
  <c r="H1706" i="1" s="1"/>
  <c r="F1707" i="1" l="1"/>
  <c r="G1707" i="1" l="1"/>
  <c r="H1707" i="1" s="1"/>
  <c r="F1708" i="1" l="1"/>
  <c r="G1708" i="1" l="1"/>
  <c r="H1708" i="1" s="1"/>
  <c r="F1709" i="1" l="1"/>
  <c r="G1709" i="1" l="1"/>
  <c r="H1709" i="1" s="1"/>
  <c r="F1710" i="1" l="1"/>
  <c r="G1710" i="1" l="1"/>
  <c r="H1710" i="1" s="1"/>
  <c r="F1711" i="1" l="1"/>
  <c r="G1711" i="1" s="1"/>
  <c r="H1711" i="1" s="1"/>
  <c r="F1712" i="1" l="1"/>
  <c r="G1712" i="1" l="1"/>
  <c r="H1712" i="1" s="1"/>
  <c r="F1713" i="1" l="1"/>
  <c r="G1713" i="1" s="1"/>
  <c r="F1714" i="1" s="1"/>
  <c r="H1713" i="1" l="1"/>
  <c r="G1714" i="1"/>
  <c r="H1714" i="1" s="1"/>
  <c r="F1715" i="1" l="1"/>
  <c r="G1715" i="1" s="1"/>
  <c r="H1715" i="1" s="1"/>
  <c r="F1716" i="1" l="1"/>
  <c r="G1716" i="1" l="1"/>
  <c r="H1716" i="1" s="1"/>
  <c r="F1717" i="1" l="1"/>
  <c r="G1717" i="1" s="1"/>
  <c r="H1717" i="1" s="1"/>
  <c r="F1718" i="1" l="1"/>
  <c r="G1718" i="1" l="1"/>
  <c r="H1718" i="1" s="1"/>
  <c r="F1719" i="1" l="1"/>
  <c r="G1719" i="1" s="1"/>
  <c r="H1719" i="1" s="1"/>
  <c r="F1720" i="1" l="1"/>
  <c r="G1720" i="1" s="1"/>
  <c r="H1720" i="1" s="1"/>
  <c r="F1721" i="1" l="1"/>
  <c r="G1721" i="1" s="1"/>
  <c r="H1721" i="1" s="1"/>
  <c r="F1722" i="1" l="1"/>
  <c r="G1722" i="1" l="1"/>
  <c r="H1722" i="1" s="1"/>
  <c r="F1723" i="1" l="1"/>
  <c r="G1723" i="1" s="1"/>
  <c r="H1723" i="1" s="1"/>
  <c r="F1724" i="1" l="1"/>
  <c r="G1724" i="1" s="1"/>
  <c r="H1724" i="1" s="1"/>
  <c r="F1725" i="1" l="1"/>
  <c r="G1725" i="1" l="1"/>
  <c r="H1725" i="1" s="1"/>
  <c r="F1726" i="1" l="1"/>
  <c r="G1726" i="1" l="1"/>
  <c r="H1726" i="1" s="1"/>
  <c r="F1727" i="1" l="1"/>
  <c r="G1727" i="1" l="1"/>
  <c r="H1727" i="1" s="1"/>
  <c r="F1728" i="1" l="1"/>
  <c r="G1728" i="1" s="1"/>
  <c r="H1728" i="1" s="1"/>
  <c r="F1729" i="1" l="1"/>
  <c r="G1729" i="1" s="1"/>
  <c r="F1730" i="1" l="1"/>
  <c r="H1729" i="1"/>
  <c r="G1730" i="1" l="1"/>
  <c r="H1730" i="1" s="1"/>
  <c r="F1731" i="1" l="1"/>
  <c r="G1731" i="1" s="1"/>
  <c r="H1731" i="1" s="1"/>
  <c r="F1732" i="1" l="1"/>
  <c r="G1732" i="1" s="1"/>
  <c r="H1732" i="1" s="1"/>
  <c r="F1733" i="1" l="1"/>
  <c r="G1733" i="1" l="1"/>
  <c r="H1733" i="1" s="1"/>
  <c r="F1734" i="1" l="1"/>
  <c r="G1734" i="1" l="1"/>
  <c r="H1734" i="1" s="1"/>
  <c r="F1735" i="1" l="1"/>
  <c r="G1735" i="1" l="1"/>
  <c r="H1735" i="1" s="1"/>
  <c r="F1736" i="1" l="1"/>
  <c r="G1736" i="1" l="1"/>
  <c r="H1736" i="1" s="1"/>
  <c r="F1737" i="1" l="1"/>
  <c r="G1737" i="1" l="1"/>
  <c r="H1737" i="1" s="1"/>
  <c r="F1738" i="1" l="1"/>
  <c r="G1738" i="1" l="1"/>
  <c r="H1738" i="1" s="1"/>
  <c r="F1739" i="1" l="1"/>
  <c r="G1739" i="1" l="1"/>
  <c r="H1739" i="1" s="1"/>
  <c r="F1740" i="1" l="1"/>
  <c r="G1740" i="1" l="1"/>
  <c r="H1740" i="1" s="1"/>
  <c r="F1741" i="1" l="1"/>
  <c r="G1741" i="1" l="1"/>
  <c r="H1741" i="1" s="1"/>
  <c r="F1742" i="1" l="1"/>
  <c r="G1742" i="1" l="1"/>
  <c r="H1742" i="1" s="1"/>
  <c r="F1743" i="1" l="1"/>
  <c r="G1743" i="1" l="1"/>
  <c r="H1743" i="1" s="1"/>
  <c r="F1744" i="1" l="1"/>
  <c r="G1744" i="1" s="1"/>
  <c r="F1745" i="1" l="1"/>
  <c r="H1744" i="1"/>
  <c r="G1745" i="1" l="1"/>
  <c r="H1745" i="1" s="1"/>
  <c r="F1746" i="1" l="1"/>
  <c r="G1746" i="1" l="1"/>
  <c r="H1746" i="1" s="1"/>
  <c r="F1747" i="1" l="1"/>
  <c r="G1747" i="1" l="1"/>
  <c r="H1747" i="1" s="1"/>
  <c r="F1748" i="1" l="1"/>
  <c r="G1748" i="1" l="1"/>
  <c r="H1748" i="1" s="1"/>
  <c r="F1749" i="1" l="1"/>
  <c r="G1749" i="1" l="1"/>
  <c r="H1749" i="1" s="1"/>
  <c r="F1750" i="1" l="1"/>
  <c r="G1750" i="1" l="1"/>
  <c r="H1750" i="1" s="1"/>
  <c r="F1751" i="1" l="1"/>
  <c r="G1751" i="1" l="1"/>
  <c r="H1751" i="1" s="1"/>
  <c r="F1752" i="1" l="1"/>
  <c r="G1752" i="1" l="1"/>
  <c r="H1752" i="1" s="1"/>
  <c r="F1753" i="1" l="1"/>
  <c r="G1753" i="1" l="1"/>
  <c r="H1753" i="1" s="1"/>
  <c r="F1754" i="1" l="1"/>
  <c r="G1754" i="1" l="1"/>
  <c r="H1754" i="1" s="1"/>
  <c r="F1755" i="1" l="1"/>
  <c r="G1755" i="1" l="1"/>
  <c r="H1755" i="1" s="1"/>
  <c r="F1756" i="1" l="1"/>
  <c r="G1756" i="1" l="1"/>
  <c r="H1756" i="1" s="1"/>
  <c r="F1757" i="1" l="1"/>
  <c r="G1757" i="1" l="1"/>
  <c r="H1757" i="1" s="1"/>
  <c r="F1758" i="1" l="1"/>
  <c r="G1758" i="1" s="1"/>
  <c r="F1759" i="1" l="1"/>
  <c r="H1758" i="1"/>
  <c r="G1759" i="1" l="1"/>
  <c r="H1759" i="1" s="1"/>
  <c r="F1760" i="1" l="1"/>
  <c r="G1760" i="1" l="1"/>
  <c r="H1760" i="1" s="1"/>
  <c r="F1761" i="1" l="1"/>
  <c r="G1761" i="1" l="1"/>
  <c r="H1761" i="1" s="1"/>
  <c r="F1762" i="1" l="1"/>
  <c r="G1762" i="1" l="1"/>
  <c r="H1762" i="1" s="1"/>
  <c r="F1763" i="1" l="1"/>
  <c r="G1763" i="1" s="1"/>
  <c r="H1763" i="1" l="1"/>
</calcChain>
</file>

<file path=xl/sharedStrings.xml><?xml version="1.0" encoding="utf-8"?>
<sst xmlns="http://schemas.openxmlformats.org/spreadsheetml/2006/main" count="16" uniqueCount="15">
  <si>
    <t xml:space="preserve"> </t>
  </si>
  <si>
    <t>SMI</t>
  </si>
  <si>
    <t>price return</t>
  </si>
  <si>
    <t>predicted return</t>
  </si>
  <si>
    <t xml:space="preserve">redisual of the AR part </t>
  </si>
  <si>
    <t>sigma</t>
  </si>
  <si>
    <t>epsilon</t>
  </si>
  <si>
    <t>Log-likehood</t>
  </si>
  <si>
    <t>Date</t>
  </si>
  <si>
    <t>sigma ²  0</t>
  </si>
  <si>
    <t>alpha 0</t>
  </si>
  <si>
    <t>alpha 1</t>
  </si>
  <si>
    <t>Eta :</t>
  </si>
  <si>
    <t>Variance of epsilon</t>
  </si>
  <si>
    <t>beta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</si>
</sst>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00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3" fillId="2" borderId="0" applyNumberFormat="0" applyBorder="0" applyAlignment="0" applyProtection="0"/>
    <xf numFmtId="43" fontId="4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10" fontId="0" fillId="0" borderId="0" xfId="1" applyNumberFormat="1" applyFont="1"/>
    <xf numFmtId="0" fontId="3" fillId="2" borderId="1" xfId="2" applyBorder="1"/>
    <xf numFmtId="0" fontId="3" fillId="2" borderId="1" xfId="2" applyBorder="1" applyAlignment="1">
      <alignment horizontal="center" vertical="center" wrapText="1"/>
    </xf>
    <xf numFmtId="0" fontId="3" fillId="2" borderId="1" xfId="2" applyBorder="1" applyAlignment="1">
      <alignment horizontal="center" vertical="center"/>
    </xf>
    <xf numFmtId="10" fontId="3" fillId="2" borderId="1" xfId="1" applyNumberFormat="1" applyFont="1" applyFill="1" applyBorder="1" applyAlignment="1">
      <alignment horizontal="center" vertical="center"/>
    </xf>
    <xf numFmtId="0" fontId="0" fillId="0" borderId="0" xfId="3" applyNumberFormat="1" applyFont="1"/>
    <xf numFmtId="2" fontId="0" fillId="0" borderId="0" xfId="3" applyNumberFormat="1" applyFont="1"/>
    <xf numFmtId="2" fontId="0" fillId="0" borderId="0" xfId="0" applyNumberFormat="1"/>
    <xf numFmtId="164" fontId="0" fillId="0" borderId="0" xfId="0" applyNumberFormat="1"/>
    <xf numFmtId="0" fontId="2" fillId="2" borderId="1" xfId="2" applyNumberFormat="1" applyFont="1" applyBorder="1"/>
    <xf numFmtId="0" fontId="2" fillId="2" borderId="1" xfId="2" applyFont="1" applyBorder="1" applyAlignment="1">
      <alignment horizontal="center" vertical="center"/>
    </xf>
    <xf numFmtId="10" fontId="3" fillId="2" borderId="1" xfId="1" applyNumberFormat="1" applyFont="1" applyFill="1" applyBorder="1" applyAlignment="1">
      <alignment horizontal="center" vertical="center" wrapText="1"/>
    </xf>
    <xf numFmtId="0" fontId="1" fillId="2" borderId="1" xfId="2" applyFont="1" applyBorder="1"/>
    <xf numFmtId="10" fontId="0" fillId="0" borderId="0" xfId="0" applyNumberFormat="1"/>
  </cellXfs>
  <cellStyles count="4">
    <cellStyle name="60% - Accent5" xfId="2" builtinId="48"/>
    <cellStyle name="Comma" xfId="3" builtinId="3"/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564847</xdr:colOff>
      <xdr:row>15</xdr:row>
      <xdr:rowOff>50800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23088D2-EF0C-534F-B1DF-4B714B2C7BFE}"/>
            </a:ext>
          </a:extLst>
        </xdr:cNvPr>
        <xdr:cNvSpPr txBox="1"/>
      </xdr:nvSpPr>
      <xdr:spPr>
        <a:xfrm>
          <a:off x="8112276" y="351003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D7B7-B657-42C2-8C83-AEBAA541F5DC}">
  <sheetPr codeName="Sheet1"/>
  <dimension ref="A1:Q1764"/>
  <sheetViews>
    <sheetView tabSelected="1" zoomScale="109" workbookViewId="0">
      <selection activeCell="L15" sqref="L15"/>
    </sheetView>
  </sheetViews>
  <sheetFormatPr baseColWidth="10" defaultRowHeight="15" x14ac:dyDescent="0.2"/>
  <cols>
    <col min="3" max="3" width="10.83203125" style="2"/>
    <col min="4" max="4" width="12.5" style="2" customWidth="1"/>
    <col min="5" max="5" width="11" style="2" customWidth="1"/>
    <col min="10" max="10" width="16.83203125" customWidth="1"/>
    <col min="13" max="13" width="18.83203125" customWidth="1"/>
    <col min="14" max="14" width="14.83203125" style="9" customWidth="1"/>
    <col min="15" max="15" width="10.83203125" style="2"/>
  </cols>
  <sheetData>
    <row r="1" spans="1:17" ht="59" customHeight="1" x14ac:dyDescent="0.2">
      <c r="A1" s="5" t="s">
        <v>8</v>
      </c>
      <c r="B1" s="5" t="s">
        <v>1</v>
      </c>
      <c r="C1" s="6" t="s">
        <v>2</v>
      </c>
      <c r="D1" s="4" t="s">
        <v>3</v>
      </c>
      <c r="E1" s="13" t="s">
        <v>4</v>
      </c>
      <c r="F1" s="5" t="s">
        <v>5</v>
      </c>
      <c r="G1" s="12" t="s">
        <v>6</v>
      </c>
      <c r="H1" s="4" t="s">
        <v>7</v>
      </c>
      <c r="N1" s="8"/>
    </row>
    <row r="2" spans="1:17" x14ac:dyDescent="0.2">
      <c r="A2" s="1">
        <v>40182</v>
      </c>
      <c r="B2">
        <v>312.20530839999998</v>
      </c>
      <c r="D2"/>
      <c r="E2"/>
      <c r="M2" s="7"/>
      <c r="N2" s="7"/>
    </row>
    <row r="3" spans="1:17" ht="16" x14ac:dyDescent="0.2">
      <c r="A3" s="1">
        <v>40183</v>
      </c>
      <c r="B3">
        <v>310.83045859999999</v>
      </c>
      <c r="C3" s="2">
        <f>(B3-B2)/B2</f>
        <v>-4.4036720805481116E-3</v>
      </c>
      <c r="D3"/>
      <c r="E3"/>
      <c r="J3" s="3" t="s">
        <v>9</v>
      </c>
      <c r="K3">
        <v>7.2721499204635623E-2</v>
      </c>
      <c r="M3" s="11" t="s">
        <v>7</v>
      </c>
      <c r="N3" s="7">
        <f>SUM(H4:H100  )</f>
        <v>-1890216.1295160332</v>
      </c>
    </row>
    <row r="4" spans="1:17" ht="16" x14ac:dyDescent="0.2">
      <c r="A4" s="1">
        <v>40184</v>
      </c>
      <c r="B4">
        <v>302.99481259999999</v>
      </c>
      <c r="C4" s="2">
        <f t="shared" ref="C4:C67" si="0">(B4-B3)/B3</f>
        <v>-2.520874574291156E-2</v>
      </c>
      <c r="D4"/>
      <c r="E4"/>
      <c r="M4" s="11" t="s">
        <v>13</v>
      </c>
      <c r="N4">
        <f>STDEV(G4:G100 )</f>
        <v>0.99999900419408017</v>
      </c>
    </row>
    <row r="5" spans="1:17" ht="16" x14ac:dyDescent="0.2">
      <c r="A5" s="1">
        <v>40185</v>
      </c>
      <c r="B5">
        <v>295.94124210000001</v>
      </c>
      <c r="C5" s="2">
        <f t="shared" si="0"/>
        <v>-2.3279509109325188E-2</v>
      </c>
      <c r="D5"/>
      <c r="E5"/>
      <c r="J5" s="3" t="s">
        <v>10</v>
      </c>
      <c r="K5">
        <v>2.9688920923436322E-3</v>
      </c>
      <c r="M5" s="7"/>
      <c r="N5" s="7"/>
      <c r="Q5" s="10"/>
    </row>
    <row r="6" spans="1:17" ht="16" x14ac:dyDescent="0.2">
      <c r="A6" s="1">
        <v>40186</v>
      </c>
      <c r="B6">
        <v>299.88646990000001</v>
      </c>
      <c r="C6" s="2">
        <f t="shared" si="0"/>
        <v>1.3331118609912727E-2</v>
      </c>
      <c r="D6">
        <f xml:space="preserve"> C6*K9+C6*K10+C6*K11</f>
        <v>2.2602657279853701E-2</v>
      </c>
      <c r="E6" s="15">
        <f t="shared" ref="E6:E37" si="1">C6 - D6</f>
        <v>-9.2715386699409735E-3</v>
      </c>
      <c r="F6">
        <f>0.0727214992046356</f>
        <v>7.2721499204635595E-2</v>
      </c>
      <c r="G6">
        <f t="shared" ref="G6:G37" si="2">E6/F6</f>
        <v>-0.12749377792461633</v>
      </c>
      <c r="H6">
        <f t="shared" ref="H6:H37" si="3">-LOG(G6^2)-(F6^2)/(G6^2)</f>
        <v>1.4636743750091463</v>
      </c>
      <c r="J6" s="3" t="s">
        <v>11</v>
      </c>
      <c r="K6">
        <v>0.12983698530402035</v>
      </c>
      <c r="M6" s="7"/>
      <c r="N6" s="7"/>
    </row>
    <row r="7" spans="1:17" ht="16" x14ac:dyDescent="0.2">
      <c r="A7" s="1">
        <v>40189</v>
      </c>
      <c r="B7">
        <v>299.43316099999998</v>
      </c>
      <c r="C7" s="2">
        <f t="shared" si="0"/>
        <v>-1.5116017076435115E-3</v>
      </c>
      <c r="D7">
        <f xml:space="preserve"> C7*K9+C7*K10+C7*K11</f>
        <v>-2.5628918578597492E-3</v>
      </c>
      <c r="E7" s="15">
        <f t="shared" si="1"/>
        <v>1.0512901502162377E-3</v>
      </c>
      <c r="F7">
        <f t="shared" ref="F7:F38" si="4" xml:space="preserve"> $K$5 + $K$6 * G6 ^ 2 + $K$7 * F6</f>
        <v>1.1309569896801991E-2</v>
      </c>
      <c r="G7">
        <f t="shared" si="2"/>
        <v>9.2955802900472034E-2</v>
      </c>
      <c r="H7">
        <f t="shared" si="3"/>
        <v>2.0486443475794323</v>
      </c>
      <c r="J7" s="14" t="s">
        <v>14</v>
      </c>
      <c r="K7">
        <v>8.5672344195033945E-2</v>
      </c>
      <c r="N7" s="8"/>
    </row>
    <row r="8" spans="1:17" x14ac:dyDescent="0.2">
      <c r="A8" s="1">
        <v>40190</v>
      </c>
      <c r="B8">
        <v>294.13801649999999</v>
      </c>
      <c r="C8" s="2">
        <f t="shared" si="0"/>
        <v>-1.7683894737363415E-2</v>
      </c>
      <c r="D8">
        <f xml:space="preserve"> C8*K9+C8*K10+C8*K11</f>
        <v>-2.9982706164239169E-2</v>
      </c>
      <c r="E8" s="15">
        <f t="shared" si="1"/>
        <v>1.2298811426875753E-2</v>
      </c>
      <c r="F8">
        <f t="shared" si="4"/>
        <v>5.059702450978045E-3</v>
      </c>
      <c r="G8">
        <f t="shared" si="2"/>
        <v>2.4307380811490966</v>
      </c>
      <c r="H8">
        <f t="shared" si="3"/>
        <v>-0.77148066267964377</v>
      </c>
      <c r="N8" s="8"/>
    </row>
    <row r="9" spans="1:17" ht="16" x14ac:dyDescent="0.2">
      <c r="A9" s="1">
        <v>40191</v>
      </c>
      <c r="B9">
        <v>292.44932360000001</v>
      </c>
      <c r="C9" s="2">
        <f t="shared" si="0"/>
        <v>-5.7411582497700637E-3</v>
      </c>
      <c r="D9">
        <f xml:space="preserve"> C9*K9+C9*K10+C9*K11</f>
        <v>-9.7340242860390388E-3</v>
      </c>
      <c r="E9" s="15">
        <f t="shared" si="1"/>
        <v>3.9928660362689751E-3</v>
      </c>
      <c r="F9">
        <f t="shared" si="4"/>
        <v>0.77054258883860427</v>
      </c>
      <c r="G9">
        <f t="shared" si="2"/>
        <v>5.1818888327602999E-3</v>
      </c>
      <c r="H9">
        <f t="shared" si="3"/>
        <v>-22106.873304225141</v>
      </c>
      <c r="J9" s="3" t="s">
        <v>12</v>
      </c>
      <c r="K9">
        <v>0.80928517541187661</v>
      </c>
    </row>
    <row r="10" spans="1:17" x14ac:dyDescent="0.2">
      <c r="A10" s="1">
        <v>40192</v>
      </c>
      <c r="B10">
        <v>293.82417340000001</v>
      </c>
      <c r="C10" s="2">
        <f t="shared" si="0"/>
        <v>4.7011556842595226E-3</v>
      </c>
      <c r="D10">
        <f xml:space="preserve"> C10*K9+C10*K10+C10*K11</f>
        <v>7.970719776774212E-3</v>
      </c>
      <c r="E10" s="15">
        <f t="shared" si="1"/>
        <v>-3.2695640925146895E-3</v>
      </c>
      <c r="F10">
        <f t="shared" si="4"/>
        <v>6.8986568359334782E-2</v>
      </c>
      <c r="G10">
        <f t="shared" si="2"/>
        <v>-4.7394212674622405E-2</v>
      </c>
      <c r="H10">
        <f t="shared" si="3"/>
        <v>0.52980550835072204</v>
      </c>
      <c r="K10">
        <v>0.4493135953741893</v>
      </c>
    </row>
    <row r="11" spans="1:17" x14ac:dyDescent="0.2">
      <c r="A11" s="1">
        <v>40193</v>
      </c>
      <c r="B11">
        <v>288.91754859999998</v>
      </c>
      <c r="C11" s="2">
        <f t="shared" si="0"/>
        <v>-1.6699186943071414E-2</v>
      </c>
      <c r="D11">
        <f xml:space="preserve"> C11*K9+C11*K10+C11*K11</f>
        <v>-2.8313152884694194E-2</v>
      </c>
      <c r="E11" s="15">
        <f t="shared" si="1"/>
        <v>1.161396594162278E-2</v>
      </c>
      <c r="F11">
        <f t="shared" si="4"/>
        <v>9.1707744375472845E-3</v>
      </c>
      <c r="G11">
        <f t="shared" si="2"/>
        <v>1.2664105982230356</v>
      </c>
      <c r="H11">
        <f t="shared" si="3"/>
        <v>-0.20520151274049678</v>
      </c>
      <c r="K11">
        <v>0.43688215180109519</v>
      </c>
    </row>
    <row r="12" spans="1:17" x14ac:dyDescent="0.2">
      <c r="A12" s="1">
        <v>40197</v>
      </c>
      <c r="B12">
        <v>292.7133316</v>
      </c>
      <c r="C12" s="2">
        <f t="shared" si="0"/>
        <v>1.3137945474039748E-2</v>
      </c>
      <c r="D12">
        <f xml:space="preserve"> C12*K9+C12*K10+C12*K11</f>
        <v>2.2275135913224726E-2</v>
      </c>
      <c r="E12" s="15">
        <f t="shared" si="1"/>
        <v>-9.1371904391849782E-3</v>
      </c>
      <c r="F12">
        <f t="shared" si="4"/>
        <v>0.21198658597911665</v>
      </c>
      <c r="G12">
        <f t="shared" si="2"/>
        <v>-4.3102682167281595E-2</v>
      </c>
      <c r="H12">
        <f t="shared" si="3"/>
        <v>-21.457465814776423</v>
      </c>
    </row>
    <row r="13" spans="1:17" x14ac:dyDescent="0.2">
      <c r="A13" s="1">
        <v>40198</v>
      </c>
      <c r="B13">
        <v>289.121803</v>
      </c>
      <c r="C13" s="2">
        <f t="shared" si="0"/>
        <v>-1.2269781428704846E-2</v>
      </c>
      <c r="D13">
        <f xml:space="preserve"> C13*K9+C13*K10+C13*K11</f>
        <v>-2.0803180336683311E-2</v>
      </c>
      <c r="E13" s="15">
        <f t="shared" si="1"/>
        <v>8.5333989079784643E-3</v>
      </c>
      <c r="F13">
        <f t="shared" si="4"/>
        <v>2.1371496352958423E-2</v>
      </c>
      <c r="G13">
        <f t="shared" si="2"/>
        <v>0.39928878947202023</v>
      </c>
      <c r="H13">
        <f t="shared" si="3"/>
        <v>0.79456095727531018</v>
      </c>
    </row>
    <row r="14" spans="1:17" x14ac:dyDescent="0.2">
      <c r="A14" s="1">
        <v>40199</v>
      </c>
      <c r="B14">
        <v>290.40198709999999</v>
      </c>
      <c r="C14" s="2">
        <f t="shared" si="0"/>
        <v>4.4278365959138175E-3</v>
      </c>
      <c r="D14">
        <f xml:space="preserve"> C14*K9+C14*K10+C14*K11</f>
        <v>7.507312476705154E-3</v>
      </c>
      <c r="E14" s="15">
        <f t="shared" si="1"/>
        <v>-3.0794758807913365E-3</v>
      </c>
      <c r="F14">
        <f t="shared" si="4"/>
        <v>2.5499948462002757E-2</v>
      </c>
      <c r="G14">
        <f t="shared" si="2"/>
        <v>-0.12076400410691165</v>
      </c>
      <c r="H14">
        <f t="shared" si="3"/>
        <v>1.7915384694239169</v>
      </c>
    </row>
    <row r="15" spans="1:17" x14ac:dyDescent="0.2">
      <c r="A15" s="1">
        <v>40200</v>
      </c>
      <c r="B15">
        <v>273.97852769999997</v>
      </c>
      <c r="C15" s="2">
        <f t="shared" si="0"/>
        <v>-5.6554225279266394E-2</v>
      </c>
      <c r="D15">
        <f xml:space="preserve"> C15*K9+C15*K10+C15*K11</f>
        <v>-9.5886610052692736E-2</v>
      </c>
      <c r="E15" s="15">
        <f t="shared" si="1"/>
        <v>3.9332384773426342E-2</v>
      </c>
      <c r="F15">
        <f t="shared" si="4"/>
        <v>7.0470678660579135E-3</v>
      </c>
      <c r="G15">
        <f t="shared" si="2"/>
        <v>5.5813829980083103</v>
      </c>
      <c r="H15">
        <f t="shared" si="3"/>
        <v>-1.493485244363834</v>
      </c>
    </row>
    <row r="16" spans="1:17" x14ac:dyDescent="0.2">
      <c r="A16" s="1">
        <v>40203</v>
      </c>
      <c r="B16">
        <v>268.99222159999999</v>
      </c>
      <c r="C16" s="2">
        <f t="shared" si="0"/>
        <v>-1.8199623678027303E-2</v>
      </c>
      <c r="D16">
        <f xml:space="preserve"> C16*K9+C16*K10+C16*K11</f>
        <v>-3.0857114744360873E-2</v>
      </c>
      <c r="E16" s="15">
        <f t="shared" si="1"/>
        <v>1.265749106633357E-2</v>
      </c>
      <c r="F16">
        <f t="shared" si="4"/>
        <v>4.0482331259729056</v>
      </c>
      <c r="G16">
        <f t="shared" si="2"/>
        <v>3.1266704936345818E-3</v>
      </c>
      <c r="H16">
        <f t="shared" si="3"/>
        <v>-1676353.0936785946</v>
      </c>
    </row>
    <row r="17" spans="1:8" x14ac:dyDescent="0.2">
      <c r="A17" s="1">
        <v>40204</v>
      </c>
      <c r="B17">
        <v>270.19769819999999</v>
      </c>
      <c r="C17" s="2">
        <f t="shared" si="0"/>
        <v>4.481455236250583E-3</v>
      </c>
      <c r="D17">
        <f xml:space="preserve"> C17*K9+C17*K10+C17*K11</f>
        <v>7.5982218584912022E-3</v>
      </c>
      <c r="E17" s="15">
        <f t="shared" si="1"/>
        <v>-3.1167666222406193E-3</v>
      </c>
      <c r="F17">
        <f t="shared" si="4"/>
        <v>0.34979178313767861</v>
      </c>
      <c r="G17">
        <f t="shared" si="2"/>
        <v>-8.9103483057343721E-3</v>
      </c>
      <c r="H17">
        <f t="shared" si="3"/>
        <v>-1536.996327420718</v>
      </c>
    </row>
    <row r="18" spans="1:8" x14ac:dyDescent="0.2">
      <c r="A18" s="1">
        <v>40205</v>
      </c>
      <c r="B18">
        <v>270.0383046</v>
      </c>
      <c r="C18" s="2">
        <f t="shared" si="0"/>
        <v>-5.8991472193077013E-4</v>
      </c>
      <c r="D18">
        <f xml:space="preserve"> C18*K9+C18*K10+C18*K11</f>
        <v>-1.0001891569869307E-3</v>
      </c>
      <c r="E18" s="15">
        <f t="shared" si="1"/>
        <v>4.1027443505616055E-4</v>
      </c>
      <c r="F18">
        <f t="shared" si="4"/>
        <v>3.2946682451371535E-2</v>
      </c>
      <c r="G18">
        <f t="shared" si="2"/>
        <v>1.24526782222069E-2</v>
      </c>
      <c r="H18">
        <f t="shared" si="3"/>
        <v>-3.190522438073109</v>
      </c>
    </row>
    <row r="19" spans="1:8" x14ac:dyDescent="0.2">
      <c r="A19" s="1">
        <v>40206</v>
      </c>
      <c r="B19">
        <v>266.14785649999999</v>
      </c>
      <c r="C19" s="2">
        <f t="shared" si="0"/>
        <v>-1.4407023128673629E-2</v>
      </c>
      <c r="D19">
        <f xml:space="preserve"> C19*K9+C19*K10+C19*K11</f>
        <v>-2.4426832865938133E-2</v>
      </c>
      <c r="E19" s="15">
        <f t="shared" si="1"/>
        <v>1.0019809737264504E-2</v>
      </c>
      <c r="F19">
        <f t="shared" si="4"/>
        <v>5.8116453281821124E-3</v>
      </c>
      <c r="G19">
        <f t="shared" si="2"/>
        <v>1.7240917453575422</v>
      </c>
      <c r="H19">
        <f t="shared" si="3"/>
        <v>-0.4731321076615313</v>
      </c>
    </row>
    <row r="20" spans="1:8" x14ac:dyDescent="0.2">
      <c r="A20" s="1">
        <v>40207</v>
      </c>
      <c r="B20">
        <v>263.98098249999998</v>
      </c>
      <c r="C20" s="2">
        <f t="shared" si="0"/>
        <v>-8.1416173269086879E-3</v>
      </c>
      <c r="D20">
        <f xml:space="preserve"> C20*K9+C20*K10+C20*K11</f>
        <v>-1.3803956856778758E-2</v>
      </c>
      <c r="E20" s="15">
        <f t="shared" si="1"/>
        <v>5.6623395298700703E-3</v>
      </c>
      <c r="F20">
        <f t="shared" si="4"/>
        <v>0.38940623446838935</v>
      </c>
      <c r="G20">
        <f t="shared" si="2"/>
        <v>1.4540957562223416E-2</v>
      </c>
      <c r="H20">
        <f t="shared" si="3"/>
        <v>-713.49134265526459</v>
      </c>
    </row>
    <row r="21" spans="1:8" x14ac:dyDescent="0.2">
      <c r="A21" s="1">
        <v>40210</v>
      </c>
      <c r="B21">
        <v>265.5152258</v>
      </c>
      <c r="C21" s="2">
        <f t="shared" si="0"/>
        <v>5.8119463207923104E-3</v>
      </c>
      <c r="D21">
        <f xml:space="preserve"> C21*K9+C21*K10+C21*K11</f>
        <v>9.8540441100040035E-3</v>
      </c>
      <c r="E21" s="15">
        <f t="shared" si="1"/>
        <v>-4.0420977892116931E-3</v>
      </c>
      <c r="F21">
        <f t="shared" si="4"/>
        <v>3.635768970376186E-2</v>
      </c>
      <c r="G21">
        <f t="shared" si="2"/>
        <v>-0.11117587014318638</v>
      </c>
      <c r="H21">
        <f t="shared" si="3"/>
        <v>1.8010312171452487</v>
      </c>
    </row>
    <row r="22" spans="1:8" x14ac:dyDescent="0.2">
      <c r="A22" s="1">
        <v>40211</v>
      </c>
      <c r="B22">
        <v>264.56878280000001</v>
      </c>
      <c r="C22" s="2">
        <f t="shared" si="0"/>
        <v>-3.5645526434438771E-3</v>
      </c>
      <c r="D22">
        <f xml:space="preserve"> C22*K9+C22*K10+C22*K11</f>
        <v>-6.0436310045167288E-3</v>
      </c>
      <c r="E22" s="15">
        <f t="shared" si="1"/>
        <v>2.4790783610728518E-3</v>
      </c>
      <c r="F22">
        <f t="shared" si="4"/>
        <v>7.688535358330824E-3</v>
      </c>
      <c r="G22">
        <f t="shared" si="2"/>
        <v>0.32243831178934163</v>
      </c>
      <c r="H22">
        <f t="shared" si="3"/>
        <v>0.98253813964264869</v>
      </c>
    </row>
    <row r="23" spans="1:8" x14ac:dyDescent="0.2">
      <c r="A23" s="1">
        <v>40212</v>
      </c>
      <c r="B23">
        <v>269.40066969999998</v>
      </c>
      <c r="C23" s="2">
        <f t="shared" si="0"/>
        <v>1.8263254072770265E-2</v>
      </c>
      <c r="D23">
        <f xml:space="preserve"> C23*K9+C23*K10+C23*K11</f>
        <v>3.0964998864744256E-2</v>
      </c>
      <c r="E23" s="15">
        <f t="shared" si="1"/>
        <v>-1.2701744791973991E-2</v>
      </c>
      <c r="F23">
        <f t="shared" si="4"/>
        <v>1.7126279316491817E-2</v>
      </c>
      <c r="G23">
        <f t="shared" si="2"/>
        <v>-0.74165232022946148</v>
      </c>
      <c r="H23">
        <f t="shared" si="3"/>
        <v>0.25906603732787725</v>
      </c>
    </row>
    <row r="24" spans="1:8" x14ac:dyDescent="0.2">
      <c r="A24" s="1">
        <v>40213</v>
      </c>
      <c r="B24">
        <v>262.40688310000002</v>
      </c>
      <c r="C24" s="2">
        <f t="shared" si="0"/>
        <v>-2.596053902831098E-2</v>
      </c>
      <c r="D24">
        <f xml:space="preserve"> C24*K9+C24*K10+C24*K11</f>
        <v>-4.4015598662580702E-2</v>
      </c>
      <c r="E24" s="15">
        <f t="shared" si="1"/>
        <v>1.8055059634269722E-2</v>
      </c>
      <c r="F24">
        <f t="shared" si="4"/>
        <v>7.5852735987707878E-2</v>
      </c>
      <c r="G24">
        <f t="shared" si="2"/>
        <v>0.23802779687730169</v>
      </c>
      <c r="H24">
        <f t="shared" si="3"/>
        <v>1.1451929581581914</v>
      </c>
    </row>
    <row r="25" spans="1:8" x14ac:dyDescent="0.2">
      <c r="A25" s="1">
        <v>40214</v>
      </c>
      <c r="B25">
        <v>264.65346879999998</v>
      </c>
      <c r="C25" s="2">
        <f t="shared" si="0"/>
        <v>8.5614587295098615E-3</v>
      </c>
      <c r="D25">
        <f xml:space="preserve"> C25*K9+C25*K10+C25*K11</f>
        <v>1.4515789945401284E-2</v>
      </c>
      <c r="E25" s="15">
        <f t="shared" si="1"/>
        <v>-5.954331215891423E-3</v>
      </c>
      <c r="F25">
        <f t="shared" si="4"/>
        <v>1.6823578007768049E-2</v>
      </c>
      <c r="G25">
        <f t="shared" si="2"/>
        <v>-0.35392775622059081</v>
      </c>
      <c r="H25">
        <f t="shared" si="3"/>
        <v>0.89991127962660356</v>
      </c>
    </row>
    <row r="26" spans="1:8" x14ac:dyDescent="0.2">
      <c r="A26" s="1">
        <v>40217</v>
      </c>
      <c r="B26">
        <v>265.73940850000002</v>
      </c>
      <c r="C26" s="2">
        <f t="shared" si="0"/>
        <v>4.1032513381515142E-3</v>
      </c>
      <c r="D26">
        <f xml:space="preserve"> C26*K9+C26*K10+C26*K11</f>
        <v>6.9569843644161321E-3</v>
      </c>
      <c r="E26" s="15">
        <f t="shared" si="1"/>
        <v>-2.8537330262646179E-3</v>
      </c>
      <c r="F26">
        <f t="shared" si="4"/>
        <v>2.0674218806532207E-2</v>
      </c>
      <c r="G26">
        <f t="shared" si="2"/>
        <v>-0.13803341509392147</v>
      </c>
      <c r="H26">
        <f t="shared" si="3"/>
        <v>1.697598410273661</v>
      </c>
    </row>
    <row r="27" spans="1:8" x14ac:dyDescent="0.2">
      <c r="A27" s="1">
        <v>40218</v>
      </c>
      <c r="B27">
        <v>267.2188726</v>
      </c>
      <c r="C27" s="2">
        <f t="shared" si="0"/>
        <v>5.5673492627645879E-3</v>
      </c>
      <c r="D27">
        <f xml:space="preserve"> C27*K9+C27*K10+C27*K11</f>
        <v>9.4393344643970544E-3</v>
      </c>
      <c r="E27" s="15">
        <f t="shared" si="1"/>
        <v>-3.8719852016324665E-3</v>
      </c>
      <c r="F27">
        <f t="shared" si="4"/>
        <v>7.2139140051580772E-3</v>
      </c>
      <c r="G27">
        <f t="shared" si="2"/>
        <v>-0.53673847496157123</v>
      </c>
      <c r="H27">
        <f t="shared" si="3"/>
        <v>0.54029390317561432</v>
      </c>
    </row>
    <row r="28" spans="1:8" x14ac:dyDescent="0.2">
      <c r="A28" s="1">
        <v>40219</v>
      </c>
      <c r="B28">
        <v>266.22756820000001</v>
      </c>
      <c r="C28" s="2">
        <f t="shared" si="0"/>
        <v>-3.7097095364363496E-3</v>
      </c>
      <c r="D28">
        <f xml:space="preserve"> C28*K9+C28*K10+C28*K11</f>
        <v>-6.2897417473674923E-3</v>
      </c>
      <c r="E28" s="15">
        <f t="shared" si="1"/>
        <v>2.5800322109311427E-3</v>
      </c>
      <c r="F28">
        <f t="shared" si="4"/>
        <v>4.0991427172726087E-2</v>
      </c>
      <c r="G28">
        <f t="shared" si="2"/>
        <v>6.294077539822239E-2</v>
      </c>
      <c r="H28">
        <f t="shared" si="3"/>
        <v>1.9779834497974393</v>
      </c>
    </row>
    <row r="29" spans="1:8" x14ac:dyDescent="0.2">
      <c r="A29" s="1">
        <v>40220</v>
      </c>
      <c r="B29">
        <v>267.19894429999999</v>
      </c>
      <c r="C29" s="2">
        <f t="shared" si="0"/>
        <v>3.6486683425296235E-3</v>
      </c>
      <c r="D29">
        <f xml:space="preserve"> C29*K9+C29*K10+C29*K11</f>
        <v>6.186247567606694E-3</v>
      </c>
      <c r="E29" s="15">
        <f t="shared" si="1"/>
        <v>-2.5375792250770706E-3</v>
      </c>
      <c r="F29">
        <f t="shared" si="4"/>
        <v>6.9950783177003314E-3</v>
      </c>
      <c r="G29">
        <f t="shared" si="2"/>
        <v>-0.36276637799122069</v>
      </c>
      <c r="H29">
        <f t="shared" si="3"/>
        <v>0.88037412368968082</v>
      </c>
    </row>
    <row r="30" spans="1:8" x14ac:dyDescent="0.2">
      <c r="A30" s="1">
        <v>40221</v>
      </c>
      <c r="B30">
        <v>265.56506100000001</v>
      </c>
      <c r="C30" s="2">
        <f t="shared" si="0"/>
        <v>-6.1148568692154801E-3</v>
      </c>
      <c r="D30">
        <f xml:space="preserve"> C30*K9+C30*K10+C30*K11</f>
        <v>-1.0367623166105903E-2</v>
      </c>
      <c r="E30" s="15">
        <f t="shared" si="1"/>
        <v>4.2527662968904227E-3</v>
      </c>
      <c r="F30">
        <f t="shared" si="4"/>
        <v>2.0654652056243963E-2</v>
      </c>
      <c r="G30">
        <f t="shared" si="2"/>
        <v>0.20589871401899498</v>
      </c>
      <c r="H30">
        <f t="shared" si="3"/>
        <v>1.3626297079243992</v>
      </c>
    </row>
    <row r="31" spans="1:8" x14ac:dyDescent="0.2">
      <c r="A31" s="1">
        <v>40225</v>
      </c>
      <c r="B31">
        <v>269.63977490000002</v>
      </c>
      <c r="C31" s="2">
        <f t="shared" si="0"/>
        <v>1.5343561704451799E-2</v>
      </c>
      <c r="D31">
        <f xml:space="preserve"> C31*K9+C31*K10+C31*K11</f>
        <v>2.601471615443697E-2</v>
      </c>
      <c r="E31" s="15">
        <f t="shared" si="1"/>
        <v>-1.0671154449985171E-2</v>
      </c>
      <c r="F31">
        <f t="shared" si="4"/>
        <v>1.024277011830636E-2</v>
      </c>
      <c r="G31">
        <f t="shared" si="2"/>
        <v>-1.0418230934337951</v>
      </c>
      <c r="H31">
        <f t="shared" si="3"/>
        <v>-3.5684619891596589E-2</v>
      </c>
    </row>
    <row r="32" spans="1:8" x14ac:dyDescent="0.2">
      <c r="A32" s="1">
        <v>40226</v>
      </c>
      <c r="B32">
        <v>268.10055729999999</v>
      </c>
      <c r="C32" s="2">
        <f t="shared" si="0"/>
        <v>-5.7084219142775625E-3</v>
      </c>
      <c r="D32">
        <f xml:space="preserve"> C32*K9+C32*K10+C32*K11</f>
        <v>-9.6785204537360899E-3</v>
      </c>
      <c r="E32" s="15">
        <f t="shared" si="1"/>
        <v>3.9700985394585274E-3</v>
      </c>
      <c r="F32">
        <f t="shared" si="4"/>
        <v>0.14477087536668082</v>
      </c>
      <c r="G32">
        <f t="shared" si="2"/>
        <v>2.7423323437141073E-2</v>
      </c>
      <c r="H32">
        <f t="shared" si="3"/>
        <v>-24.745294299957244</v>
      </c>
    </row>
    <row r="33" spans="1:8" x14ac:dyDescent="0.2">
      <c r="A33" s="1">
        <v>40227</v>
      </c>
      <c r="B33">
        <v>270.59619750000002</v>
      </c>
      <c r="C33" s="2">
        <f t="shared" si="0"/>
        <v>9.3085975841797532E-3</v>
      </c>
      <c r="D33">
        <f xml:space="preserve"> C33*K9+C33*K10+C33*K11</f>
        <v>1.5782549620017707E-2</v>
      </c>
      <c r="E33" s="15">
        <f t="shared" si="1"/>
        <v>-6.473952035837954E-3</v>
      </c>
      <c r="F33">
        <f t="shared" si="4"/>
        <v>1.5469394789703335E-2</v>
      </c>
      <c r="G33">
        <f t="shared" si="2"/>
        <v>-0.41850066688757048</v>
      </c>
      <c r="H33">
        <f t="shared" si="3"/>
        <v>0.75524136521482343</v>
      </c>
    </row>
    <row r="34" spans="1:8" x14ac:dyDescent="0.2">
      <c r="A34" s="1">
        <v>40228</v>
      </c>
      <c r="B34">
        <v>269.37079260000002</v>
      </c>
      <c r="C34" s="2">
        <f t="shared" si="0"/>
        <v>-4.5285370279454897E-3</v>
      </c>
      <c r="D34">
        <f xml:space="preserve"> C34*K9+C34*K10+C34*K11</f>
        <v>-7.6780481381111387E-3</v>
      </c>
      <c r="E34" s="15">
        <f t="shared" si="1"/>
        <v>3.149511110165649E-3</v>
      </c>
      <c r="F34">
        <f t="shared" si="4"/>
        <v>2.7034205619720964E-2</v>
      </c>
      <c r="G34">
        <f t="shared" si="2"/>
        <v>0.11650096749534736</v>
      </c>
      <c r="H34">
        <f t="shared" si="3"/>
        <v>1.8134931115512374</v>
      </c>
    </row>
    <row r="35" spans="1:8" x14ac:dyDescent="0.2">
      <c r="A35" s="1">
        <v>40231</v>
      </c>
      <c r="B35">
        <v>270.38699910000003</v>
      </c>
      <c r="C35" s="2">
        <f t="shared" si="0"/>
        <v>3.772519248250561E-3</v>
      </c>
      <c r="D35">
        <f xml:space="preserve"> C35*K9+C35*K10+C35*K11</f>
        <v>6.396234415501684E-3</v>
      </c>
      <c r="E35" s="15">
        <f t="shared" si="1"/>
        <v>-2.6237151672511231E-3</v>
      </c>
      <c r="F35">
        <f t="shared" si="4"/>
        <v>7.047185153835964E-3</v>
      </c>
      <c r="G35">
        <f t="shared" si="2"/>
        <v>-0.37230683031266287</v>
      </c>
      <c r="H35">
        <f t="shared" si="3"/>
        <v>0.85783970674792009</v>
      </c>
    </row>
    <row r="36" spans="1:8" x14ac:dyDescent="0.2">
      <c r="A36" s="1">
        <v>40232</v>
      </c>
      <c r="B36">
        <v>266.53640660000002</v>
      </c>
      <c r="C36" s="2">
        <f t="shared" si="0"/>
        <v>-1.4241041591559291E-2</v>
      </c>
      <c r="D36">
        <f xml:space="preserve"> C36*K9+C36*K10+C36*K11</f>
        <v>-2.414541433625908E-2</v>
      </c>
      <c r="E36" s="15">
        <f t="shared" si="1"/>
        <v>9.9043727446997895E-3</v>
      </c>
      <c r="F36">
        <f t="shared" si="4"/>
        <v>2.1569653976803316E-2</v>
      </c>
      <c r="G36">
        <f t="shared" si="2"/>
        <v>0.45918088233363702</v>
      </c>
      <c r="H36">
        <f t="shared" si="3"/>
        <v>0.67382582820773451</v>
      </c>
    </row>
    <row r="37" spans="1:8" x14ac:dyDescent="0.2">
      <c r="A37" s="1">
        <v>40233</v>
      </c>
      <c r="B37">
        <v>264.74312980000002</v>
      </c>
      <c r="C37" s="2">
        <f t="shared" si="0"/>
        <v>-6.7280744978723698E-3</v>
      </c>
      <c r="D37">
        <f xml:space="preserve"> C37*K9+C37*K10+C37*K11</f>
        <v>-1.1407321956887796E-2</v>
      </c>
      <c r="E37" s="15">
        <f t="shared" si="1"/>
        <v>4.6792474590154265E-3</v>
      </c>
      <c r="F37">
        <f t="shared" si="4"/>
        <v>3.2192564490018123E-2</v>
      </c>
      <c r="G37">
        <f t="shared" si="2"/>
        <v>0.14535180819366877</v>
      </c>
      <c r="H37">
        <f t="shared" si="3"/>
        <v>1.626105591750949</v>
      </c>
    </row>
    <row r="38" spans="1:8" x14ac:dyDescent="0.2">
      <c r="A38" s="1">
        <v>40234</v>
      </c>
      <c r="B38">
        <v>262.2325361</v>
      </c>
      <c r="C38" s="2">
        <f t="shared" si="0"/>
        <v>-9.483130693123714E-3</v>
      </c>
      <c r="D38">
        <f xml:space="preserve"> C38*K9+C38*K10+C38*K11</f>
        <v>-1.6078467176592018E-2</v>
      </c>
      <c r="E38" s="15">
        <f t="shared" ref="E38:E69" si="5">C38 - D38</f>
        <v>6.5953364834683038E-3</v>
      </c>
      <c r="F38">
        <f t="shared" si="4"/>
        <v>8.4699897810934718E-3</v>
      </c>
      <c r="G38">
        <f t="shared" ref="G38:G69" si="6">E38/F38</f>
        <v>0.77867112640327751</v>
      </c>
      <c r="H38">
        <f t="shared" ref="H38:H69" si="7">-LOG(G38^2)-(F38^2)/(G38^2)</f>
        <v>0.21717353795965647</v>
      </c>
    </row>
    <row r="39" spans="1:8" x14ac:dyDescent="0.2">
      <c r="A39" s="1">
        <v>40235</v>
      </c>
      <c r="B39">
        <v>262.41686220000003</v>
      </c>
      <c r="C39" s="2">
        <f t="shared" si="0"/>
        <v>7.0291086964788404E-4</v>
      </c>
      <c r="D39">
        <f xml:space="preserve"> C39*K9+C39*K10+C39*K11</f>
        <v>1.1917719697671382E-3</v>
      </c>
      <c r="E39" s="15">
        <f t="shared" si="5"/>
        <v>-4.8886110011925419E-4</v>
      </c>
      <c r="F39">
        <f t="shared" ref="F39:F70" si="8" xml:space="preserve"> $K$5 + $K$6 * G38 ^ 2 + $K$7 * F38</f>
        <v>8.2418429481978334E-2</v>
      </c>
      <c r="G39">
        <f t="shared" si="6"/>
        <v>-5.9314537196580395E-3</v>
      </c>
      <c r="H39">
        <f t="shared" si="7"/>
        <v>-188.62147050510615</v>
      </c>
    </row>
    <row r="40" spans="1:8" x14ac:dyDescent="0.2">
      <c r="A40" s="1">
        <v>40238</v>
      </c>
      <c r="B40">
        <v>265.35085779999997</v>
      </c>
      <c r="C40" s="2">
        <f t="shared" si="0"/>
        <v>1.1180667185037112E-2</v>
      </c>
      <c r="D40">
        <f xml:space="preserve"> C40*K9+C40*K10+C40*K11</f>
        <v>1.8956607914026719E-2</v>
      </c>
      <c r="E40" s="15">
        <f t="shared" si="5"/>
        <v>-7.7759407289896068E-3</v>
      </c>
      <c r="F40">
        <f t="shared" si="8"/>
        <v>1.003444009435113E-2</v>
      </c>
      <c r="G40">
        <f t="shared" si="6"/>
        <v>-0.77492522311903167</v>
      </c>
      <c r="H40">
        <f t="shared" si="7"/>
        <v>0.22131273158979858</v>
      </c>
    </row>
    <row r="41" spans="1:8" x14ac:dyDescent="0.2">
      <c r="A41" s="1">
        <v>40239</v>
      </c>
      <c r="B41">
        <v>269.52023750000001</v>
      </c>
      <c r="C41" s="2">
        <f t="shared" si="0"/>
        <v>1.5712704811162048E-2</v>
      </c>
      <c r="D41">
        <f xml:space="preserve"> C41*K9+C41*K10+C41*K11</f>
        <v>2.6640591249568753E-2</v>
      </c>
      <c r="E41" s="15">
        <f t="shared" si="5"/>
        <v>-1.0927886438406705E-2</v>
      </c>
      <c r="F41">
        <f t="shared" si="8"/>
        <v>8.1796857474699891E-2</v>
      </c>
      <c r="G41">
        <f t="shared" si="6"/>
        <v>-0.13359787619942179</v>
      </c>
      <c r="H41">
        <f t="shared" si="7"/>
        <v>1.3735365510457194</v>
      </c>
    </row>
    <row r="42" spans="1:8" x14ac:dyDescent="0.2">
      <c r="A42" s="1">
        <v>40240</v>
      </c>
      <c r="B42">
        <v>271.64228100000003</v>
      </c>
      <c r="C42" s="2">
        <f t="shared" si="0"/>
        <v>7.8734106191191595E-3</v>
      </c>
      <c r="D42">
        <f xml:space="preserve"> C42*K9+C42*K10+C42*K11</f>
        <v>1.3349217500411703E-2</v>
      </c>
      <c r="E42" s="15">
        <f t="shared" si="5"/>
        <v>-5.4758068812925439E-3</v>
      </c>
      <c r="F42">
        <f t="shared" si="8"/>
        <v>1.2294002097956554E-2</v>
      </c>
      <c r="G42">
        <f t="shared" si="6"/>
        <v>-0.44540474596166729</v>
      </c>
      <c r="H42">
        <f t="shared" si="7"/>
        <v>0.70172845639501169</v>
      </c>
    </row>
    <row r="43" spans="1:8" x14ac:dyDescent="0.2">
      <c r="A43" s="1">
        <v>40241</v>
      </c>
      <c r="B43">
        <v>276.25999519999999</v>
      </c>
      <c r="C43" s="2">
        <f t="shared" si="0"/>
        <v>1.699924688822638E-2</v>
      </c>
      <c r="D43">
        <f xml:space="preserve"> C43*K9+C43*K10+C43*K11</f>
        <v>2.882189879733699E-2</v>
      </c>
      <c r="E43" s="15">
        <f t="shared" si="5"/>
        <v>-1.182265190911061E-2</v>
      </c>
      <c r="F43">
        <f t="shared" si="8"/>
        <v>2.9779908742220473E-2</v>
      </c>
      <c r="G43">
        <f t="shared" si="6"/>
        <v>-0.39700094488029919</v>
      </c>
      <c r="H43">
        <f t="shared" si="7"/>
        <v>0.79679009113301325</v>
      </c>
    </row>
    <row r="44" spans="1:8" x14ac:dyDescent="0.2">
      <c r="A44" s="1">
        <v>40242</v>
      </c>
      <c r="B44">
        <v>281.05202600000001</v>
      </c>
      <c r="C44" s="2">
        <f t="shared" si="0"/>
        <v>1.7346090216684477E-2</v>
      </c>
      <c r="D44">
        <f xml:space="preserve"> C44*K9+C44*K10+C44*K11</f>
        <v>2.9409965043864329E-2</v>
      </c>
      <c r="E44" s="15">
        <f t="shared" si="5"/>
        <v>-1.2063874827179851E-2</v>
      </c>
      <c r="F44">
        <f t="shared" si="8"/>
        <v>2.5983781509346267E-2</v>
      </c>
      <c r="G44">
        <f t="shared" si="6"/>
        <v>-0.46428480099559494</v>
      </c>
      <c r="H44">
        <f t="shared" si="7"/>
        <v>0.66329896551849987</v>
      </c>
    </row>
    <row r="45" spans="1:8" x14ac:dyDescent="0.2">
      <c r="A45" s="1">
        <v>40245</v>
      </c>
      <c r="B45">
        <v>280.19026910000002</v>
      </c>
      <c r="C45" s="2">
        <f t="shared" si="0"/>
        <v>-3.0661828426029169E-3</v>
      </c>
      <c r="D45">
        <f xml:space="preserve"> C45*K9+C45*K10+C45*K11</f>
        <v>-5.1986545147973181E-3</v>
      </c>
      <c r="E45" s="15">
        <f t="shared" si="5"/>
        <v>2.1324716721944012E-3</v>
      </c>
      <c r="F45">
        <f t="shared" si="8"/>
        <v>3.3182692992688508E-2</v>
      </c>
      <c r="G45">
        <f t="shared" si="6"/>
        <v>6.4264575291230017E-2</v>
      </c>
      <c r="H45">
        <f t="shared" si="7"/>
        <v>2.117444543609099</v>
      </c>
    </row>
    <row r="46" spans="1:8" x14ac:dyDescent="0.2">
      <c r="A46" s="1">
        <v>40246</v>
      </c>
      <c r="B46">
        <v>279.04952040000001</v>
      </c>
      <c r="C46" s="2">
        <f t="shared" si="0"/>
        <v>-4.0713358949410325E-3</v>
      </c>
      <c r="D46">
        <f xml:space="preserve"> C46*K9+C46*K10+C46*K11</f>
        <v>-6.9028723393168472E-3</v>
      </c>
      <c r="E46" s="15">
        <f t="shared" si="5"/>
        <v>2.8315364443758147E-3</v>
      </c>
      <c r="F46">
        <f t="shared" si="8"/>
        <v>6.3479495803861249E-3</v>
      </c>
      <c r="G46">
        <f t="shared" si="6"/>
        <v>0.44605528265767697</v>
      </c>
      <c r="H46">
        <f t="shared" si="7"/>
        <v>0.70102009568714063</v>
      </c>
    </row>
    <row r="47" spans="1:8" x14ac:dyDescent="0.2">
      <c r="A47" s="1">
        <v>40247</v>
      </c>
      <c r="B47">
        <v>287.14917389999999</v>
      </c>
      <c r="C47" s="2">
        <f t="shared" si="0"/>
        <v>2.9025864256600916E-2</v>
      </c>
      <c r="D47">
        <f xml:space="preserve"> C47*K9+C47*K10+C47*K11</f>
        <v>4.9212799108671421E-2</v>
      </c>
      <c r="E47" s="15">
        <f t="shared" si="5"/>
        <v>-2.0186934852070505E-2</v>
      </c>
      <c r="F47">
        <f t="shared" si="8"/>
        <v>2.9345792517648135E-2</v>
      </c>
      <c r="G47">
        <f t="shared" si="6"/>
        <v>-0.687898779354157</v>
      </c>
      <c r="H47">
        <f t="shared" si="7"/>
        <v>0.32313104297785761</v>
      </c>
    </row>
    <row r="48" spans="1:8" x14ac:dyDescent="0.2">
      <c r="A48" s="1">
        <v>40248</v>
      </c>
      <c r="B48">
        <v>289.4854206</v>
      </c>
      <c r="C48" s="2">
        <f t="shared" si="0"/>
        <v>8.1360035561641713E-3</v>
      </c>
      <c r="D48">
        <f xml:space="preserve"> C48*K9+C48*K10+C48*K11</f>
        <v>1.3794438815577653E-2</v>
      </c>
      <c r="E48" s="15">
        <f t="shared" si="5"/>
        <v>-5.6584352594134819E-3</v>
      </c>
      <c r="F48">
        <f t="shared" si="8"/>
        <v>6.692249058709282E-2</v>
      </c>
      <c r="G48">
        <f t="shared" si="6"/>
        <v>-8.455207225214674E-2</v>
      </c>
      <c r="H48">
        <f t="shared" si="7"/>
        <v>1.5192881235091451</v>
      </c>
    </row>
    <row r="49" spans="1:8" x14ac:dyDescent="0.2">
      <c r="A49" s="1">
        <v>40249</v>
      </c>
      <c r="B49">
        <v>288.68842239999998</v>
      </c>
      <c r="C49" s="2">
        <f t="shared" si="0"/>
        <v>-2.7531548854796408E-3</v>
      </c>
      <c r="D49">
        <f xml:space="preserve"> C49*K9+C49*K10+C49*K11</f>
        <v>-4.6679215852583715E-3</v>
      </c>
      <c r="E49" s="15">
        <f t="shared" si="5"/>
        <v>1.9147666997787307E-3</v>
      </c>
      <c r="F49">
        <f t="shared" si="8"/>
        <v>9.630510219498515E-3</v>
      </c>
      <c r="G49">
        <f t="shared" si="6"/>
        <v>0.19882297574452265</v>
      </c>
      <c r="H49">
        <f t="shared" si="7"/>
        <v>1.4007206586916712</v>
      </c>
    </row>
    <row r="50" spans="1:8" x14ac:dyDescent="0.2">
      <c r="A50" s="1">
        <v>40252</v>
      </c>
      <c r="B50">
        <v>280.53896359999999</v>
      </c>
      <c r="C50" s="2">
        <f t="shared" si="0"/>
        <v>-2.8229253990339417E-2</v>
      </c>
      <c r="D50">
        <f xml:space="preserve"> C50*K9+C50*K10+C50*K11</f>
        <v>-4.7862161599487973E-2</v>
      </c>
      <c r="E50" s="15">
        <f t="shared" si="5"/>
        <v>1.9632907609148556E-2</v>
      </c>
      <c r="F50">
        <f t="shared" si="8"/>
        <v>8.9264912527732033E-3</v>
      </c>
      <c r="G50">
        <f t="shared" si="6"/>
        <v>2.1993980673032283</v>
      </c>
      <c r="H50">
        <f t="shared" si="7"/>
        <v>-0.68462415046037162</v>
      </c>
    </row>
    <row r="51" spans="1:8" x14ac:dyDescent="0.2">
      <c r="A51" s="1">
        <v>40253</v>
      </c>
      <c r="B51">
        <v>281.54519099999999</v>
      </c>
      <c r="C51" s="2">
        <f t="shared" si="0"/>
        <v>3.5867652289280801E-3</v>
      </c>
      <c r="D51">
        <f xml:space="preserve"> C51*K9+C51*K10+C51*K11</f>
        <v>6.0812920194465315E-3</v>
      </c>
      <c r="E51" s="15">
        <f t="shared" si="5"/>
        <v>-2.4945267905184514E-3</v>
      </c>
      <c r="F51">
        <f t="shared" si="8"/>
        <v>0.631800827680285</v>
      </c>
      <c r="G51">
        <f t="shared" si="6"/>
        <v>-3.948280346002927E-3</v>
      </c>
      <c r="H51">
        <f t="shared" si="7"/>
        <v>-25601.350586451557</v>
      </c>
    </row>
    <row r="52" spans="1:8" x14ac:dyDescent="0.2">
      <c r="A52" s="1">
        <v>40254</v>
      </c>
      <c r="B52">
        <v>281.72451239999998</v>
      </c>
      <c r="C52" s="2">
        <f t="shared" si="0"/>
        <v>6.3691871050282681E-4</v>
      </c>
      <c r="D52">
        <f xml:space="preserve"> C52*K9+C52*K10+C52*K11</f>
        <v>1.0798835228963577E-3</v>
      </c>
      <c r="E52" s="15">
        <f t="shared" si="5"/>
        <v>-4.4296481239353093E-4</v>
      </c>
      <c r="F52">
        <f t="shared" si="8"/>
        <v>5.7098774082153449E-2</v>
      </c>
      <c r="G52">
        <f t="shared" si="6"/>
        <v>-7.7578690526033927E-3</v>
      </c>
      <c r="H52">
        <f t="shared" si="7"/>
        <v>-49.950712620014201</v>
      </c>
    </row>
    <row r="53" spans="1:8" x14ac:dyDescent="0.2">
      <c r="A53" s="1">
        <v>40255</v>
      </c>
      <c r="B53">
        <v>282.14294000000001</v>
      </c>
      <c r="C53" s="2">
        <f t="shared" si="0"/>
        <v>1.4852367528670521E-3</v>
      </c>
      <c r="D53">
        <f xml:space="preserve"> C53*K9+C53*K10+C53*K11</f>
        <v>2.5181905800113888E-3</v>
      </c>
      <c r="E53" s="15">
        <f t="shared" si="5"/>
        <v>-1.0329538271443366E-3</v>
      </c>
      <c r="F53">
        <f t="shared" si="8"/>
        <v>7.8684920968519947E-3</v>
      </c>
      <c r="G53">
        <f t="shared" si="6"/>
        <v>-0.13127722750812676</v>
      </c>
      <c r="H53">
        <f t="shared" si="7"/>
        <v>1.7600286460809229</v>
      </c>
    </row>
    <row r="54" spans="1:8" x14ac:dyDescent="0.2">
      <c r="A54" s="1">
        <v>40256</v>
      </c>
      <c r="B54">
        <v>278.95488510000001</v>
      </c>
      <c r="C54" s="2">
        <f t="shared" si="0"/>
        <v>-1.1299431770293446E-2</v>
      </c>
      <c r="D54">
        <f xml:space="preserve"> C54*K9+C54*K10+C54*K11</f>
        <v>-1.9157971002607809E-2</v>
      </c>
      <c r="E54" s="15">
        <f t="shared" si="5"/>
        <v>7.8585392323143634E-3</v>
      </c>
      <c r="F54">
        <f t="shared" si="8"/>
        <v>5.8805772675781026E-3</v>
      </c>
      <c r="G54">
        <f t="shared" si="6"/>
        <v>1.3363550676634299</v>
      </c>
      <c r="H54">
        <f t="shared" si="7"/>
        <v>-0.25186309386067329</v>
      </c>
    </row>
    <row r="55" spans="1:8" x14ac:dyDescent="0.2">
      <c r="A55" s="1">
        <v>40259</v>
      </c>
      <c r="B55">
        <v>277.70955190000001</v>
      </c>
      <c r="C55" s="2">
        <f t="shared" si="0"/>
        <v>-4.4642817405888997E-3</v>
      </c>
      <c r="D55">
        <f xml:space="preserve"> C55*K9+C55*K10+C55*K11</f>
        <v>-7.5691045242226853E-3</v>
      </c>
      <c r="E55" s="15">
        <f t="shared" si="5"/>
        <v>3.1048227836337856E-3</v>
      </c>
      <c r="F55">
        <f t="shared" si="8"/>
        <v>0.23534140866710246</v>
      </c>
      <c r="G55">
        <f t="shared" si="6"/>
        <v>1.3192845242231261E-2</v>
      </c>
      <c r="H55">
        <f t="shared" si="7"/>
        <v>-314.45502756740905</v>
      </c>
    </row>
    <row r="56" spans="1:8" x14ac:dyDescent="0.2">
      <c r="A56" s="1">
        <v>40260</v>
      </c>
      <c r="B56">
        <v>273.475414</v>
      </c>
      <c r="C56" s="2">
        <f t="shared" si="0"/>
        <v>-1.5246641215728407E-2</v>
      </c>
      <c r="D56">
        <f xml:space="preserve"> C56*K9+C56*K10+C56*K11</f>
        <v>-2.5850389314798636E-2</v>
      </c>
      <c r="E56" s="15">
        <f t="shared" si="5"/>
        <v>1.0603748099070229E-2</v>
      </c>
      <c r="F56">
        <f t="shared" si="8"/>
        <v>2.3153740537644046E-2</v>
      </c>
      <c r="G56">
        <f t="shared" si="6"/>
        <v>0.45797127603768112</v>
      </c>
      <c r="H56">
        <f t="shared" si="7"/>
        <v>0.67576749079210718</v>
      </c>
    </row>
    <row r="57" spans="1:8" x14ac:dyDescent="0.2">
      <c r="A57" s="1">
        <v>40261</v>
      </c>
      <c r="B57">
        <v>277.62486580000001</v>
      </c>
      <c r="C57" s="2">
        <f t="shared" si="0"/>
        <v>1.5173034165330886E-2</v>
      </c>
      <c r="D57">
        <f xml:space="preserve"> C57*K9+C57*K10+C57*K11</f>
        <v>2.5725589965081726E-2</v>
      </c>
      <c r="E57" s="15">
        <f t="shared" si="5"/>
        <v>-1.055255579975084E-2</v>
      </c>
      <c r="F57">
        <f t="shared" si="8"/>
        <v>3.2184236653194899E-2</v>
      </c>
      <c r="G57">
        <f t="shared" si="6"/>
        <v>-0.32787963602993508</v>
      </c>
      <c r="H57">
        <f t="shared" si="7"/>
        <v>0.95893598228392407</v>
      </c>
    </row>
    <row r="58" spans="1:8" x14ac:dyDescent="0.2">
      <c r="A58" s="1">
        <v>40262</v>
      </c>
      <c r="B58">
        <v>280.3895187</v>
      </c>
      <c r="C58" s="2">
        <f t="shared" si="0"/>
        <v>9.9582322787744593E-3</v>
      </c>
      <c r="D58">
        <f xml:space="preserve"> C58*K9+C58*K10+C58*K11</f>
        <v>1.6883992851353766E-2</v>
      </c>
      <c r="E58" s="15">
        <f t="shared" si="5"/>
        <v>-6.9257605725793064E-3</v>
      </c>
      <c r="F58">
        <f t="shared" si="8"/>
        <v>1.9684323432581544E-2</v>
      </c>
      <c r="G58">
        <f t="shared" si="6"/>
        <v>-0.35184143342797192</v>
      </c>
      <c r="H58">
        <f t="shared" si="7"/>
        <v>0.90417601791760427</v>
      </c>
    </row>
    <row r="59" spans="1:8" x14ac:dyDescent="0.2">
      <c r="A59" s="1">
        <v>40263</v>
      </c>
      <c r="B59">
        <v>280.29488350000003</v>
      </c>
      <c r="C59" s="2">
        <f t="shared" si="0"/>
        <v>-3.3751332945232025E-4</v>
      </c>
      <c r="D59">
        <f xml:space="preserve"> C59*K9+C59*K10+C59*K11</f>
        <v>-5.7224741120528435E-4</v>
      </c>
      <c r="E59" s="15">
        <f t="shared" si="5"/>
        <v>2.347340817529641E-4</v>
      </c>
      <c r="F59">
        <f t="shared" si="8"/>
        <v>2.0728125501153032E-2</v>
      </c>
      <c r="G59">
        <f t="shared" si="6"/>
        <v>1.1324423992893457E-2</v>
      </c>
      <c r="H59">
        <f t="shared" si="7"/>
        <v>0.54163598076307151</v>
      </c>
    </row>
    <row r="60" spans="1:8" x14ac:dyDescent="0.2">
      <c r="A60" s="1">
        <v>40266</v>
      </c>
      <c r="B60">
        <v>280.17531559999998</v>
      </c>
      <c r="C60" s="2">
        <f t="shared" si="0"/>
        <v>-4.2657896036853475E-4</v>
      </c>
      <c r="D60">
        <f xml:space="preserve"> C60*K9+C60*K10+C60*K11</f>
        <v>-7.2325648928191525E-4</v>
      </c>
      <c r="E60" s="15">
        <f t="shared" si="5"/>
        <v>2.9667752891338051E-4</v>
      </c>
      <c r="F60">
        <f t="shared" si="8"/>
        <v>4.7613698246114925E-3</v>
      </c>
      <c r="G60">
        <f t="shared" si="6"/>
        <v>6.2309280698982068E-2</v>
      </c>
      <c r="H60">
        <f t="shared" si="7"/>
        <v>2.4050552571759982</v>
      </c>
    </row>
    <row r="61" spans="1:8" x14ac:dyDescent="0.2">
      <c r="A61" s="1">
        <v>40267</v>
      </c>
      <c r="B61">
        <v>282.29735920000002</v>
      </c>
      <c r="C61" s="2">
        <f t="shared" si="0"/>
        <v>7.5739848653535013E-3</v>
      </c>
      <c r="D61">
        <f xml:space="preserve"> C61*K9+C61*K10+C61*K11</f>
        <v>1.2841546847170749E-2</v>
      </c>
      <c r="E61" s="15">
        <f t="shared" si="5"/>
        <v>-5.2675619818172478E-3</v>
      </c>
      <c r="F61">
        <f t="shared" si="8"/>
        <v>3.8808949509272525E-3</v>
      </c>
      <c r="G61">
        <f t="shared" si="6"/>
        <v>-1.3573059947316231</v>
      </c>
      <c r="H61">
        <f t="shared" si="7"/>
        <v>-0.26536370982444407</v>
      </c>
    </row>
    <row r="62" spans="1:8" x14ac:dyDescent="0.2">
      <c r="A62" s="1">
        <v>40268</v>
      </c>
      <c r="B62">
        <v>282.50161359999998</v>
      </c>
      <c r="C62" s="2">
        <f t="shared" si="0"/>
        <v>7.2354343157443168E-4</v>
      </c>
      <c r="D62">
        <f xml:space="preserve"> C62*K9+C62*K10+C62*K11</f>
        <v>1.2267540848976979E-3</v>
      </c>
      <c r="E62" s="15">
        <f t="shared" si="5"/>
        <v>-5.0321065332326618E-4</v>
      </c>
      <c r="F62">
        <f t="shared" si="8"/>
        <v>0.24249740205090986</v>
      </c>
      <c r="G62">
        <f t="shared" si="6"/>
        <v>-2.0751177087564108E-3</v>
      </c>
      <c r="H62">
        <f t="shared" si="7"/>
        <v>-13650.797568043843</v>
      </c>
    </row>
    <row r="63" spans="1:8" x14ac:dyDescent="0.2">
      <c r="A63" s="1">
        <v>40269</v>
      </c>
      <c r="B63">
        <v>283.33846790000001</v>
      </c>
      <c r="C63" s="2">
        <f t="shared" si="0"/>
        <v>2.9622991859612775E-3</v>
      </c>
      <c r="D63">
        <f xml:space="preserve"> C63*K9+C63*K10+C63*K11</f>
        <v>5.0225217567928231E-3</v>
      </c>
      <c r="E63" s="15">
        <f t="shared" si="5"/>
        <v>-2.0602225708315457E-3</v>
      </c>
      <c r="F63">
        <f t="shared" si="8"/>
        <v>2.3744772080046602E-2</v>
      </c>
      <c r="G63">
        <f t="shared" si="6"/>
        <v>-8.6765312544853118E-2</v>
      </c>
      <c r="H63">
        <f t="shared" si="7"/>
        <v>2.0484142957630742</v>
      </c>
    </row>
    <row r="64" spans="1:8" x14ac:dyDescent="0.2">
      <c r="A64" s="1">
        <v>40273</v>
      </c>
      <c r="B64">
        <v>284.43933060000001</v>
      </c>
      <c r="C64" s="2">
        <f t="shared" si="0"/>
        <v>3.8853273548035347E-3</v>
      </c>
      <c r="D64">
        <f xml:space="preserve"> C64*K9+C64*K10+C64*K11</f>
        <v>6.5874984080754317E-3</v>
      </c>
      <c r="E64" s="15">
        <f t="shared" si="5"/>
        <v>-2.702171053271897E-3</v>
      </c>
      <c r="F64">
        <f t="shared" si="8"/>
        <v>5.9806036983420987E-3</v>
      </c>
      <c r="G64">
        <f t="shared" si="6"/>
        <v>-0.45182245632175461</v>
      </c>
      <c r="H64">
        <f t="shared" si="7"/>
        <v>0.68988916725440785</v>
      </c>
    </row>
    <row r="65" spans="1:8" x14ac:dyDescent="0.2">
      <c r="A65" s="1">
        <v>40274</v>
      </c>
      <c r="B65">
        <v>283.0495578</v>
      </c>
      <c r="C65" s="2">
        <f t="shared" si="0"/>
        <v>-4.8860078424049101E-3</v>
      </c>
      <c r="D65">
        <f xml:space="preserve"> C65*K9+C65*K10+C65*K11</f>
        <v>-8.2841330844087811E-3</v>
      </c>
      <c r="E65" s="15">
        <f t="shared" si="5"/>
        <v>3.398125242003871E-3</v>
      </c>
      <c r="F65">
        <f t="shared" si="8"/>
        <v>2.9986645199832032E-2</v>
      </c>
      <c r="G65">
        <f t="shared" si="6"/>
        <v>0.11332128750510928</v>
      </c>
      <c r="H65">
        <f t="shared" si="7"/>
        <v>1.821355281743547</v>
      </c>
    </row>
    <row r="66" spans="1:8" x14ac:dyDescent="0.2">
      <c r="A66" s="1">
        <v>40275</v>
      </c>
      <c r="B66">
        <v>280.71828549999998</v>
      </c>
      <c r="C66" s="2">
        <f t="shared" si="0"/>
        <v>-8.2362690057522607E-3</v>
      </c>
      <c r="D66">
        <f xml:space="preserve"> C66*K9+C66*K10+C66*K11</f>
        <v>-1.3964436972548882E-2</v>
      </c>
      <c r="E66" s="15">
        <f t="shared" si="5"/>
        <v>5.7281679667966212E-3</v>
      </c>
      <c r="F66">
        <f t="shared" si="8"/>
        <v>7.2052477392575707E-3</v>
      </c>
      <c r="G66">
        <f t="shared" si="6"/>
        <v>0.79499944680415002</v>
      </c>
      <c r="H66">
        <f t="shared" si="7"/>
        <v>0.19918420529573394</v>
      </c>
    </row>
    <row r="67" spans="1:8" x14ac:dyDescent="0.2">
      <c r="A67" s="1">
        <v>40276</v>
      </c>
      <c r="B67">
        <v>282.68590929999999</v>
      </c>
      <c r="C67" s="2">
        <f t="shared" si="0"/>
        <v>7.0092469982687066E-3</v>
      </c>
      <c r="D67">
        <f xml:space="preserve"> C67*K9+C67*K10+C67*K11</f>
        <v>1.1884044567265916E-2</v>
      </c>
      <c r="E67" s="15">
        <f t="shared" si="5"/>
        <v>-4.8747975689972097E-3</v>
      </c>
      <c r="F67">
        <f t="shared" si="8"/>
        <v>8.5646288991287498E-2</v>
      </c>
      <c r="G67">
        <f t="shared" si="6"/>
        <v>-5.6917790909692609E-2</v>
      </c>
      <c r="H67">
        <f t="shared" si="7"/>
        <v>0.22527138513257716</v>
      </c>
    </row>
    <row r="68" spans="1:8" x14ac:dyDescent="0.2">
      <c r="A68" s="1">
        <v>40277</v>
      </c>
      <c r="B68">
        <v>282.0532791</v>
      </c>
      <c r="C68" s="2">
        <f t="shared" ref="C68:C131" si="9">(B68-B67)/B67</f>
        <v>-2.2379261901187171E-3</v>
      </c>
      <c r="D68">
        <f xml:space="preserve"> C68*K9+C68*K10+C68*K11</f>
        <v>-3.7943611615044526E-3</v>
      </c>
      <c r="E68" s="15">
        <f t="shared" si="5"/>
        <v>1.5564349713857355E-3</v>
      </c>
      <c r="F68">
        <f t="shared" si="8"/>
        <v>1.0727034873595793E-2</v>
      </c>
      <c r="G68">
        <f t="shared" si="6"/>
        <v>0.14509461279154073</v>
      </c>
      <c r="H68">
        <f t="shared" si="7"/>
        <v>1.6712315856333542</v>
      </c>
    </row>
    <row r="69" spans="1:8" x14ac:dyDescent="0.2">
      <c r="A69" s="1">
        <v>40280</v>
      </c>
      <c r="B69">
        <v>285.29614350000003</v>
      </c>
      <c r="C69" s="2">
        <f t="shared" si="9"/>
        <v>1.1497346920935089E-2</v>
      </c>
      <c r="D69">
        <f xml:space="preserve"> C69*K9+C69*K10+C69*K11</f>
        <v>1.9493532364811682E-2</v>
      </c>
      <c r="E69" s="15">
        <f t="shared" si="5"/>
        <v>-7.9961854438765929E-3</v>
      </c>
      <c r="F69">
        <f t="shared" si="8"/>
        <v>6.6212885239808989E-3</v>
      </c>
      <c r="G69">
        <f t="shared" si="6"/>
        <v>-1.2076479396594952</v>
      </c>
      <c r="H69">
        <f t="shared" si="7"/>
        <v>-0.16391075058067173</v>
      </c>
    </row>
    <row r="70" spans="1:8" x14ac:dyDescent="0.2">
      <c r="A70" s="1">
        <v>40281</v>
      </c>
      <c r="B70">
        <v>292.28993009999999</v>
      </c>
      <c r="C70" s="2">
        <f t="shared" si="9"/>
        <v>2.4514129473327297E-2</v>
      </c>
      <c r="D70">
        <f xml:space="preserve"> C70*K9+C70*K10+C70*K11</f>
        <v>4.1563238855858081E-2</v>
      </c>
      <c r="E70" s="15">
        <f t="shared" ref="E70:E100" si="10">C70 - D70</f>
        <v>-1.7049109382530785E-2</v>
      </c>
      <c r="F70">
        <f t="shared" si="8"/>
        <v>0.19289217156224137</v>
      </c>
      <c r="G70">
        <f t="shared" ref="G70:G100" si="11">E70/F70</f>
        <v>-8.8386735679573572E-2</v>
      </c>
      <c r="H70">
        <f t="shared" ref="H70:H100" si="12">-LOG(G70^2)-(F70^2)/(G70^2)</f>
        <v>-2.6554938073838361</v>
      </c>
    </row>
    <row r="71" spans="1:8" x14ac:dyDescent="0.2">
      <c r="A71" s="1">
        <v>40282</v>
      </c>
      <c r="B71">
        <v>293.4007719</v>
      </c>
      <c r="C71" s="2">
        <f t="shared" si="9"/>
        <v>3.8004792009767663E-3</v>
      </c>
      <c r="D71">
        <f xml:space="preserve"> C71*K9+C71*K10+C71*K11</f>
        <v>6.4436399819454045E-3</v>
      </c>
      <c r="E71" s="15">
        <f t="shared" si="10"/>
        <v>-2.6431607809686382E-3</v>
      </c>
      <c r="F71">
        <f t="shared" ref="F71:F100" si="13" xml:space="preserve"> $K$5 + $K$6 * G70 ^ 2 + $K$7 * F70</f>
        <v>2.0508731056822979E-2</v>
      </c>
      <c r="G71">
        <f t="shared" si="11"/>
        <v>-0.12887978167178188</v>
      </c>
      <c r="H71">
        <f t="shared" si="12"/>
        <v>1.7543078340004938</v>
      </c>
    </row>
    <row r="72" spans="1:8" x14ac:dyDescent="0.2">
      <c r="A72" s="1">
        <v>40283</v>
      </c>
      <c r="B72">
        <v>296.53902140000002</v>
      </c>
      <c r="C72" s="2">
        <f t="shared" si="9"/>
        <v>1.0696118758234355E-2</v>
      </c>
      <c r="D72">
        <f xml:space="preserve"> C72*K9+C72*K10+C72*K11</f>
        <v>1.8135065300313023E-2</v>
      </c>
      <c r="E72" s="15">
        <f t="shared" si="10"/>
        <v>-7.4389465420786685E-3</v>
      </c>
      <c r="F72">
        <f t="shared" si="13"/>
        <v>6.8825152407423857E-3</v>
      </c>
      <c r="G72">
        <f t="shared" si="11"/>
        <v>-1.0808470859668249</v>
      </c>
      <c r="H72">
        <f t="shared" si="12"/>
        <v>-6.7569059682266008E-2</v>
      </c>
    </row>
    <row r="73" spans="1:8" x14ac:dyDescent="0.2">
      <c r="A73" s="1">
        <v>40284</v>
      </c>
      <c r="B73">
        <v>274.04826029999998</v>
      </c>
      <c r="C73" s="2">
        <f t="shared" si="9"/>
        <v>-7.5844187364678614E-2</v>
      </c>
      <c r="D73">
        <f xml:space="preserve"> C73*K9+C73*K10+C73*K11</f>
        <v>-0.12859237276593879</v>
      </c>
      <c r="E73" s="15">
        <f t="shared" si="10"/>
        <v>5.2748185401260181E-2</v>
      </c>
      <c r="F73">
        <f t="shared" si="13"/>
        <v>0.15523804960128396</v>
      </c>
      <c r="G73">
        <f t="shared" si="11"/>
        <v>0.33978902425493951</v>
      </c>
      <c r="H73">
        <f t="shared" si="12"/>
        <v>0.72885477278452271</v>
      </c>
    </row>
    <row r="74" spans="1:8" x14ac:dyDescent="0.2">
      <c r="A74" s="1">
        <v>40287</v>
      </c>
      <c r="B74">
        <v>274.02335820000002</v>
      </c>
      <c r="C74" s="2">
        <f t="shared" si="9"/>
        <v>-9.0867571911249081E-5</v>
      </c>
      <c r="D74">
        <f xml:space="preserve"> C74*K9+C74*K10+C74*K11</f>
        <v>-1.5406423465733979E-4</v>
      </c>
      <c r="E74" s="15">
        <f t="shared" si="10"/>
        <v>6.319666274609071E-5</v>
      </c>
      <c r="F74">
        <f t="shared" si="13"/>
        <v>3.1259034121035451E-2</v>
      </c>
      <c r="G74">
        <f t="shared" si="11"/>
        <v>2.0217087483059225E-3</v>
      </c>
      <c r="H74">
        <f t="shared" si="12"/>
        <v>-233.67529765798685</v>
      </c>
    </row>
    <row r="75" spans="1:8" x14ac:dyDescent="0.2">
      <c r="A75" s="1">
        <v>40288</v>
      </c>
      <c r="B75">
        <v>276.48414700000001</v>
      </c>
      <c r="C75" s="2">
        <f t="shared" si="9"/>
        <v>8.9802154683614448E-3</v>
      </c>
      <c r="D75">
        <f xml:space="preserve"> C75*K9+C75*K10+C75*K11</f>
        <v>1.5225784007328956E-2</v>
      </c>
      <c r="E75" s="15">
        <f t="shared" si="10"/>
        <v>-6.2455685389675112E-3</v>
      </c>
      <c r="F75">
        <f t="shared" si="13"/>
        <v>5.647457506288491E-3</v>
      </c>
      <c r="G75">
        <f t="shared" si="11"/>
        <v>-1.1059080182565373</v>
      </c>
      <c r="H75">
        <f t="shared" si="12"/>
        <v>-8.746409136641313E-2</v>
      </c>
    </row>
    <row r="76" spans="1:8" x14ac:dyDescent="0.2">
      <c r="A76" s="1">
        <v>40289</v>
      </c>
      <c r="B76">
        <v>276.11552469999998</v>
      </c>
      <c r="C76" s="2">
        <f t="shared" si="9"/>
        <v>-1.3332493164609066E-3</v>
      </c>
      <c r="D76">
        <f xml:space="preserve"> C76*K9+C76*K10+C76*K11</f>
        <v>-2.2604987811118398E-3</v>
      </c>
      <c r="E76" s="15">
        <f t="shared" si="10"/>
        <v>9.2724946465093318E-4</v>
      </c>
      <c r="F76">
        <f t="shared" si="13"/>
        <v>0.16224758156691144</v>
      </c>
      <c r="G76">
        <f t="shared" si="11"/>
        <v>5.7150279572489807E-3</v>
      </c>
      <c r="H76">
        <f t="shared" si="12"/>
        <v>-801.48564906189529</v>
      </c>
    </row>
    <row r="77" spans="1:8" x14ac:dyDescent="0.2">
      <c r="A77" s="1">
        <v>40290</v>
      </c>
      <c r="B77">
        <v>272.50904270000001</v>
      </c>
      <c r="C77" s="2">
        <f t="shared" si="9"/>
        <v>-1.3061496646805429E-2</v>
      </c>
      <c r="D77">
        <f xml:space="preserve"> C77*K9+C77*K10+C77*K11</f>
        <v>-2.2145518385094782E-2</v>
      </c>
      <c r="E77" s="15">
        <f t="shared" si="10"/>
        <v>9.0840217382893527E-3</v>
      </c>
      <c r="F77">
        <f t="shared" si="13"/>
        <v>1.6873263421635937E-2</v>
      </c>
      <c r="G77">
        <f t="shared" si="11"/>
        <v>0.53836780184687094</v>
      </c>
      <c r="H77">
        <f t="shared" si="12"/>
        <v>0.53685955303335198</v>
      </c>
    </row>
    <row r="78" spans="1:8" x14ac:dyDescent="0.2">
      <c r="A78" s="1">
        <v>40291</v>
      </c>
      <c r="B78">
        <v>271.47791310000002</v>
      </c>
      <c r="C78" s="2">
        <f t="shared" si="9"/>
        <v>-3.7838362712063708E-3</v>
      </c>
      <c r="D78">
        <f xml:space="preserve"> C78*K9+C78*K10+C78*K11</f>
        <v>-6.4154222120237411E-3</v>
      </c>
      <c r="E78" s="15">
        <f t="shared" si="10"/>
        <v>2.6315859408173703E-3</v>
      </c>
      <c r="F78">
        <f t="shared" si="13"/>
        <v>4.2046401670839832E-2</v>
      </c>
      <c r="G78">
        <f t="shared" si="11"/>
        <v>6.258766116108426E-2</v>
      </c>
      <c r="H78">
        <f t="shared" si="12"/>
        <v>1.955707080540066</v>
      </c>
    </row>
    <row r="79" spans="1:8" x14ac:dyDescent="0.2">
      <c r="A79" s="1">
        <v>40294</v>
      </c>
      <c r="B79">
        <v>264.82781629999999</v>
      </c>
      <c r="C79" s="2">
        <f t="shared" si="9"/>
        <v>-2.4495903641157127E-2</v>
      </c>
      <c r="D79">
        <f xml:space="preserve"> C79*K9+C79*K10+C79*K11</f>
        <v>-4.1532337305115283E-2</v>
      </c>
      <c r="E79" s="15">
        <f t="shared" si="10"/>
        <v>1.7036433663958156E-2</v>
      </c>
      <c r="F79">
        <f t="shared" si="13"/>
        <v>7.0797053176343393E-3</v>
      </c>
      <c r="G79">
        <f t="shared" si="11"/>
        <v>2.4063760989491052</v>
      </c>
      <c r="H79">
        <f t="shared" si="12"/>
        <v>-0.76273566643005797</v>
      </c>
    </row>
    <row r="80" spans="1:8" x14ac:dyDescent="0.2">
      <c r="A80" s="1">
        <v>40295</v>
      </c>
      <c r="B80">
        <v>263.54262699999998</v>
      </c>
      <c r="C80" s="2">
        <f t="shared" si="9"/>
        <v>-4.8529241299340546E-3</v>
      </c>
      <c r="D80">
        <f xml:space="preserve"> C80*K9+C80*K10+C80*K11</f>
        <v>-8.228040281066086E-3</v>
      </c>
      <c r="E80" s="15">
        <f t="shared" si="10"/>
        <v>3.3751161511320314E-3</v>
      </c>
      <c r="F80">
        <f t="shared" si="13"/>
        <v>0.75541543750453377</v>
      </c>
      <c r="G80">
        <f t="shared" si="11"/>
        <v>4.4678940667158065E-3</v>
      </c>
      <c r="H80">
        <f t="shared" si="12"/>
        <v>-28582.128722198682</v>
      </c>
    </row>
    <row r="81" spans="1:8" x14ac:dyDescent="0.2">
      <c r="A81" s="1">
        <v>40296</v>
      </c>
      <c r="B81">
        <v>263.60738579999997</v>
      </c>
      <c r="C81" s="2">
        <f t="shared" si="9"/>
        <v>2.4572419550175005E-4</v>
      </c>
      <c r="D81">
        <f xml:space="preserve"> C81*K9+C81*K10+C81*K11</f>
        <v>4.1662068569129512E-4</v>
      </c>
      <c r="E81" s="15">
        <f t="shared" si="10"/>
        <v>-1.7089649018954507E-4</v>
      </c>
      <c r="F81">
        <f t="shared" si="13"/>
        <v>6.7689695280423109E-2</v>
      </c>
      <c r="G81">
        <f t="shared" si="11"/>
        <v>-2.5247046759711289E-3</v>
      </c>
      <c r="H81">
        <f t="shared" si="12"/>
        <v>-713.63070599096523</v>
      </c>
    </row>
    <row r="82" spans="1:8" x14ac:dyDescent="0.2">
      <c r="A82" s="1">
        <v>40297</v>
      </c>
      <c r="B82">
        <v>265.00713769999999</v>
      </c>
      <c r="C82" s="2">
        <f t="shared" si="9"/>
        <v>5.3099874108307804E-3</v>
      </c>
      <c r="D82">
        <f xml:space="preserve"> C82*K9+C82*K10+C82*K11</f>
        <v>9.0029823542415836E-3</v>
      </c>
      <c r="E82" s="15">
        <f t="shared" si="10"/>
        <v>-3.6929949434108033E-3</v>
      </c>
      <c r="F82">
        <f t="shared" si="13"/>
        <v>8.7688545631686519E-3</v>
      </c>
      <c r="G82">
        <f t="shared" si="11"/>
        <v>-0.42114906990501261</v>
      </c>
      <c r="H82">
        <f t="shared" si="12"/>
        <v>0.75069478329956774</v>
      </c>
    </row>
    <row r="83" spans="1:8" x14ac:dyDescent="0.2">
      <c r="A83" s="1">
        <v>40298</v>
      </c>
      <c r="B83">
        <v>261.86888759999999</v>
      </c>
      <c r="C83" s="2">
        <f t="shared" si="9"/>
        <v>-1.1842134243012857E-2</v>
      </c>
      <c r="D83">
        <f xml:space="preserve"> C83*K9+C83*K10+C83*K11</f>
        <v>-2.0078112691744452E-2</v>
      </c>
      <c r="E83" s="15">
        <f t="shared" si="10"/>
        <v>8.235978448731595E-3</v>
      </c>
      <c r="F83">
        <f t="shared" si="13"/>
        <v>2.6748877146871658E-2</v>
      </c>
      <c r="G83">
        <f t="shared" si="11"/>
        <v>0.30789996916542761</v>
      </c>
      <c r="H83">
        <f t="shared" si="12"/>
        <v>1.015633405560898</v>
      </c>
    </row>
    <row r="84" spans="1:8" x14ac:dyDescent="0.2">
      <c r="A84" s="1">
        <v>40301</v>
      </c>
      <c r="B84">
        <v>264.3097487</v>
      </c>
      <c r="C84" s="2">
        <f t="shared" si="9"/>
        <v>9.3209282033090458E-3</v>
      </c>
      <c r="D84">
        <f xml:space="preserve"> C84*K9+C84*K10+C84*K11</f>
        <v>1.5803455949515113E-2</v>
      </c>
      <c r="E84" s="15">
        <f t="shared" si="10"/>
        <v>-6.4825277462060675E-3</v>
      </c>
      <c r="F84">
        <f t="shared" si="13"/>
        <v>1.7569387750721387E-2</v>
      </c>
      <c r="G84">
        <f t="shared" si="11"/>
        <v>-0.36896719670495631</v>
      </c>
      <c r="H84">
        <f t="shared" si="12"/>
        <v>0.8637570366581514</v>
      </c>
    </row>
    <row r="85" spans="1:8" x14ac:dyDescent="0.2">
      <c r="A85" s="1">
        <v>40302</v>
      </c>
      <c r="B85">
        <v>252.2399801</v>
      </c>
      <c r="C85" s="2">
        <f t="shared" si="9"/>
        <v>-4.5665241858708648E-2</v>
      </c>
      <c r="D85">
        <f xml:space="preserve"> C85*K9+C85*K10+C85*K11</f>
        <v>-7.7424546396769184E-2</v>
      </c>
      <c r="E85" s="15">
        <f t="shared" si="10"/>
        <v>3.1759304538060536E-2</v>
      </c>
      <c r="F85">
        <f t="shared" si="13"/>
        <v>2.2149693420980908E-2</v>
      </c>
      <c r="G85">
        <f t="shared" si="11"/>
        <v>1.4338484932697575</v>
      </c>
      <c r="H85">
        <f t="shared" si="12"/>
        <v>-0.31324516071266056</v>
      </c>
    </row>
    <row r="86" spans="1:8" x14ac:dyDescent="0.2">
      <c r="A86" s="1">
        <v>40303</v>
      </c>
      <c r="B86">
        <v>253.92864259999999</v>
      </c>
      <c r="C86" s="2">
        <f t="shared" si="9"/>
        <v>6.6946663226445146E-3</v>
      </c>
      <c r="D86">
        <f xml:space="preserve"> C86*K9+C86*K10+C86*K11</f>
        <v>1.1350679033130518E-2</v>
      </c>
      <c r="E86" s="15">
        <f t="shared" si="10"/>
        <v>-4.6560127104860035E-3</v>
      </c>
      <c r="F86">
        <f t="shared" si="13"/>
        <v>0.27180115804712457</v>
      </c>
      <c r="G86">
        <f t="shared" si="11"/>
        <v>-1.7130216603708323E-2</v>
      </c>
      <c r="H86">
        <f t="shared" si="12"/>
        <v>-248.22182544013381</v>
      </c>
    </row>
    <row r="87" spans="1:8" x14ac:dyDescent="0.2">
      <c r="A87" s="1">
        <v>40304</v>
      </c>
      <c r="B87">
        <v>248.40434149999999</v>
      </c>
      <c r="C87" s="2">
        <f t="shared" si="9"/>
        <v>-2.1755328754708991E-2</v>
      </c>
      <c r="D87">
        <f xml:space="preserve"> C87*K9+C87*K10+C87*K11</f>
        <v>-3.6885744868220993E-2</v>
      </c>
      <c r="E87" s="15">
        <f t="shared" si="10"/>
        <v>1.5130416113512003E-2</v>
      </c>
      <c r="F87">
        <f t="shared" si="13"/>
        <v>2.6292834383144649E-2</v>
      </c>
      <c r="G87">
        <f t="shared" si="11"/>
        <v>0.57545778036055117</v>
      </c>
      <c r="H87">
        <f t="shared" si="12"/>
        <v>0.47788546469932236</v>
      </c>
    </row>
    <row r="88" spans="1:8" x14ac:dyDescent="0.2">
      <c r="A88" s="1">
        <v>40305</v>
      </c>
      <c r="B88">
        <v>245.64966720000001</v>
      </c>
      <c r="C88" s="2">
        <f t="shared" si="9"/>
        <v>-1.1089477274695607E-2</v>
      </c>
      <c r="D88">
        <f xml:space="preserve"> C88*K9+C88*K10+C88*K11</f>
        <v>-1.8801997160710265E-2</v>
      </c>
      <c r="E88" s="15">
        <f t="shared" si="10"/>
        <v>7.7125198860146585E-3</v>
      </c>
      <c r="F88">
        <f t="shared" si="13"/>
        <v>4.8217193669868097E-2</v>
      </c>
      <c r="G88">
        <f t="shared" si="11"/>
        <v>0.15995372809999037</v>
      </c>
      <c r="H88">
        <f t="shared" si="12"/>
        <v>1.5011423966018198</v>
      </c>
    </row>
    <row r="89" spans="1:8" x14ac:dyDescent="0.2">
      <c r="A89" s="1">
        <v>40308</v>
      </c>
      <c r="B89">
        <v>259.85145890000001</v>
      </c>
      <c r="C89" s="2">
        <f t="shared" si="9"/>
        <v>5.7813193324774026E-2</v>
      </c>
      <c r="D89">
        <f xml:space="preserve"> C89*K9+C89*K10+C89*K11</f>
        <v>9.8021166355997766E-2</v>
      </c>
      <c r="E89" s="15">
        <f t="shared" si="10"/>
        <v>-4.020797303122374E-2</v>
      </c>
      <c r="F89">
        <f t="shared" si="13"/>
        <v>1.0421676709042118E-2</v>
      </c>
      <c r="G89">
        <f t="shared" si="11"/>
        <v>-3.8581097988136839</v>
      </c>
      <c r="H89">
        <f t="shared" si="12"/>
        <v>-1.1727564630281897</v>
      </c>
    </row>
    <row r="90" spans="1:8" x14ac:dyDescent="0.2">
      <c r="A90" s="1">
        <v>40309</v>
      </c>
      <c r="B90">
        <v>253.57497369999999</v>
      </c>
      <c r="C90" s="2">
        <f t="shared" si="9"/>
        <v>-2.4154127233187623E-2</v>
      </c>
      <c r="D90">
        <f xml:space="preserve"> C90*K9+C90*K10+C90*K11</f>
        <v>-4.0952861925612621E-2</v>
      </c>
      <c r="E90" s="15">
        <f t="shared" si="10"/>
        <v>1.6798734692424998E-2</v>
      </c>
      <c r="F90">
        <f t="shared" si="13"/>
        <v>1.9364867245490982</v>
      </c>
      <c r="G90">
        <f t="shared" si="11"/>
        <v>8.6748514613940904E-3</v>
      </c>
      <c r="H90">
        <f t="shared" si="12"/>
        <v>-49827.490526914029</v>
      </c>
    </row>
    <row r="91" spans="1:8" x14ac:dyDescent="0.2">
      <c r="A91" s="1">
        <v>40310</v>
      </c>
      <c r="B91">
        <v>251.7518049</v>
      </c>
      <c r="C91" s="2">
        <f t="shared" si="9"/>
        <v>-7.1898609448618105E-3</v>
      </c>
      <c r="D91">
        <f xml:space="preserve"> C91*K9+C91*K10+C91*K11</f>
        <v>-1.2190272068067699E-2</v>
      </c>
      <c r="E91" s="15">
        <f t="shared" si="10"/>
        <v>5.0004111232058888E-3</v>
      </c>
      <c r="F91">
        <f t="shared" si="13"/>
        <v>0.16888201991589918</v>
      </c>
      <c r="G91">
        <f t="shared" si="11"/>
        <v>2.9608901679977664E-2</v>
      </c>
      <c r="H91">
        <f t="shared" si="12"/>
        <v>-29.475703804731857</v>
      </c>
    </row>
    <row r="92" spans="1:8" x14ac:dyDescent="0.2">
      <c r="A92" s="1">
        <v>40311</v>
      </c>
      <c r="B92">
        <v>254.48656639999999</v>
      </c>
      <c r="C92" s="2">
        <f t="shared" si="9"/>
        <v>1.0862927084420639E-2</v>
      </c>
      <c r="D92">
        <f xml:space="preserve"> C92*K9+C92*K10+C92*K11</f>
        <v>1.8417885635090565E-2</v>
      </c>
      <c r="E92" s="15">
        <f t="shared" si="10"/>
        <v>-7.5549585506699268E-3</v>
      </c>
      <c r="F92">
        <f t="shared" si="13"/>
        <v>1.7551237035687079E-2</v>
      </c>
      <c r="G92">
        <f t="shared" si="11"/>
        <v>-0.4304516277290521</v>
      </c>
      <c r="H92">
        <f t="shared" si="12"/>
        <v>0.73048877164049186</v>
      </c>
    </row>
    <row r="93" spans="1:8" x14ac:dyDescent="0.2">
      <c r="A93" s="1">
        <v>40312</v>
      </c>
      <c r="B93">
        <v>252.8178163</v>
      </c>
      <c r="C93" s="2">
        <f t="shared" si="9"/>
        <v>-6.5573209761377125E-3</v>
      </c>
      <c r="D93">
        <f xml:space="preserve"> C93*K9+C93*K10+C93*K11</f>
        <v>-1.1117812618322113E-2</v>
      </c>
      <c r="E93" s="15">
        <f t="shared" si="10"/>
        <v>4.560491642184401E-3</v>
      </c>
      <c r="F93">
        <f t="shared" si="13"/>
        <v>2.8529861443191074E-2</v>
      </c>
      <c r="G93">
        <f t="shared" si="11"/>
        <v>0.15984976482501656</v>
      </c>
      <c r="H93">
        <f t="shared" si="12"/>
        <v>1.560721164478313</v>
      </c>
    </row>
    <row r="94" spans="1:8" x14ac:dyDescent="0.2">
      <c r="A94" s="1">
        <v>40315</v>
      </c>
      <c r="B94">
        <v>253.03699370000001</v>
      </c>
      <c r="C94" s="2">
        <f t="shared" si="9"/>
        <v>8.6693811064298245E-4</v>
      </c>
      <c r="D94">
        <f xml:space="preserve"> C94*K9+C94*K10+C94*K11</f>
        <v>1.4698770276589342E-3</v>
      </c>
      <c r="E94" s="15">
        <f t="shared" si="10"/>
        <v>-6.029389170159518E-4</v>
      </c>
      <c r="F94">
        <f t="shared" si="13"/>
        <v>8.730700009717849E-3</v>
      </c>
      <c r="G94">
        <f t="shared" si="11"/>
        <v>-6.9059630538770178E-2</v>
      </c>
      <c r="H94">
        <f t="shared" si="12"/>
        <v>2.3055688178396023</v>
      </c>
    </row>
    <row r="95" spans="1:8" x14ac:dyDescent="0.2">
      <c r="A95" s="1">
        <v>40316</v>
      </c>
      <c r="B95">
        <v>248.25491160000001</v>
      </c>
      <c r="C95" s="2">
        <f t="shared" si="9"/>
        <v>-1.8898746898920325E-2</v>
      </c>
      <c r="D95">
        <f xml:space="preserve"> C95*K9+C95*K10+C95*K11</f>
        <v>-3.2042464827922681E-2</v>
      </c>
      <c r="E95" s="15">
        <f t="shared" si="10"/>
        <v>1.3143717929002357E-2</v>
      </c>
      <c r="F95">
        <f t="shared" si="13"/>
        <v>4.336094407761973E-3</v>
      </c>
      <c r="G95">
        <f t="shared" si="11"/>
        <v>3.0312342612914511</v>
      </c>
      <c r="H95">
        <f t="shared" si="12"/>
        <v>-0.96324104828456392</v>
      </c>
    </row>
    <row r="96" spans="1:8" x14ac:dyDescent="0.2">
      <c r="A96" s="1">
        <v>40317</v>
      </c>
      <c r="B96">
        <v>246.29226209999999</v>
      </c>
      <c r="C96" s="2">
        <f t="shared" si="9"/>
        <v>-7.9057831619554798E-3</v>
      </c>
      <c r="D96">
        <f xml:space="preserve"> C96*K9+C96*K10+C96*K11</f>
        <v>-1.3404104529206319E-2</v>
      </c>
      <c r="E96" s="15">
        <f t="shared" si="10"/>
        <v>5.4983213672508396E-3</v>
      </c>
      <c r="F96">
        <f t="shared" si="13"/>
        <v>1.1963320833932392</v>
      </c>
      <c r="G96">
        <f t="shared" si="11"/>
        <v>4.595982539944571E-3</v>
      </c>
      <c r="H96">
        <f t="shared" si="12"/>
        <v>-67751.168756180123</v>
      </c>
    </row>
    <row r="97" spans="1:8" x14ac:dyDescent="0.2">
      <c r="A97" s="1">
        <v>40318</v>
      </c>
      <c r="B97">
        <v>236.61850870000001</v>
      </c>
      <c r="C97" s="2">
        <f t="shared" si="9"/>
        <v>-3.9277536847959225E-2</v>
      </c>
      <c r="D97">
        <f xml:space="preserve"> C97*K9+C97*K10+C97*K11</f>
        <v>-6.6594314411929117E-2</v>
      </c>
      <c r="E97" s="15">
        <f t="shared" si="10"/>
        <v>2.7316777563969892E-2</v>
      </c>
      <c r="F97">
        <f t="shared" si="13"/>
        <v>0.10546420866621876</v>
      </c>
      <c r="G97">
        <f t="shared" si="11"/>
        <v>0.25901467340853168</v>
      </c>
      <c r="H97">
        <f t="shared" si="12"/>
        <v>1.007560069531976</v>
      </c>
    </row>
    <row r="98" spans="1:8" x14ac:dyDescent="0.2">
      <c r="A98" s="1">
        <v>40319</v>
      </c>
      <c r="B98">
        <v>235.14403390000001</v>
      </c>
      <c r="C98" s="2">
        <f t="shared" si="9"/>
        <v>-6.2314432125401857E-3</v>
      </c>
      <c r="D98">
        <f xml:space="preserve"> C98*K9+C98*K10+C98*K11</f>
        <v>-1.0565293087047137E-2</v>
      </c>
      <c r="E98" s="15">
        <f t="shared" si="10"/>
        <v>4.3338498745069511E-3</v>
      </c>
      <c r="F98">
        <f t="shared" si="13"/>
        <v>2.0714839784871104E-2</v>
      </c>
      <c r="G98">
        <f t="shared" si="11"/>
        <v>0.20921474264416659</v>
      </c>
      <c r="H98">
        <f t="shared" si="12"/>
        <v>1.3490119888698029</v>
      </c>
    </row>
    <row r="99" spans="1:8" x14ac:dyDescent="0.2">
      <c r="A99" s="1">
        <v>40322</v>
      </c>
      <c r="B99">
        <v>237.6894944</v>
      </c>
      <c r="C99" s="2">
        <f t="shared" si="9"/>
        <v>1.0825111986819539E-2</v>
      </c>
      <c r="D99">
        <f xml:space="preserve"> C99*K9+C99*K10+C99*K11</f>
        <v>1.835377085852213E-2</v>
      </c>
      <c r="E99" s="15">
        <f t="shared" si="10"/>
        <v>-7.5286588717025909E-3</v>
      </c>
      <c r="F99">
        <f t="shared" si="13"/>
        <v>1.0426650801447647E-2</v>
      </c>
      <c r="G99">
        <f t="shared" si="11"/>
        <v>-0.72205917461600466</v>
      </c>
      <c r="H99">
        <f t="shared" si="12"/>
        <v>0.28264590058026501</v>
      </c>
    </row>
    <row r="100" spans="1:8" x14ac:dyDescent="0.2">
      <c r="A100" s="1">
        <v>40323</v>
      </c>
      <c r="B100">
        <v>237.64466400000001</v>
      </c>
      <c r="C100" s="2">
        <f t="shared" si="9"/>
        <v>-1.8860909319177318E-4</v>
      </c>
      <c r="D100">
        <f xml:space="preserve"> C100*K9+C100*K10+C100*K11</f>
        <v>-3.1978311933311546E-4</v>
      </c>
      <c r="E100" s="15">
        <f t="shared" si="10"/>
        <v>1.3117402614134228E-4</v>
      </c>
      <c r="F100">
        <f t="shared" si="13"/>
        <v>7.1555205540082309E-2</v>
      </c>
      <c r="G100">
        <f t="shared" si="11"/>
        <v>1.8331863510316372E-3</v>
      </c>
      <c r="H100">
        <f t="shared" si="12"/>
        <v>-1518.1203546210372</v>
      </c>
    </row>
    <row r="101" spans="1:8" x14ac:dyDescent="0.2">
      <c r="A101" s="1">
        <v>40324</v>
      </c>
      <c r="B101">
        <v>236.84765039999999</v>
      </c>
      <c r="C101" s="2">
        <f t="shared" si="9"/>
        <v>-3.3538038960555573E-3</v>
      </c>
      <c r="D101">
        <v>16.781772020108757</v>
      </c>
      <c r="E101" s="15">
        <v>0</v>
      </c>
      <c r="F101">
        <f t="shared" ref="F101:F136" si="14" xml:space="preserve"> $K$5 + $K$6 * G100 ^ 2 + $K$7 * F100</f>
        <v>9.099630616882997E-3</v>
      </c>
      <c r="G101">
        <f t="shared" ref="G101:G135" si="15">E101/F101</f>
        <v>0</v>
      </c>
      <c r="H101" t="e">
        <f t="shared" ref="H101:H135" si="16">-LOG(G101^2)-(F101^2)/(G101^2)</f>
        <v>#NUM!</v>
      </c>
    </row>
    <row r="102" spans="1:8" x14ac:dyDescent="0.2">
      <c r="A102" s="1">
        <v>40325</v>
      </c>
      <c r="B102">
        <v>244.31467359999999</v>
      </c>
      <c r="C102" s="2">
        <f t="shared" si="9"/>
        <v>3.1526693160727252E-2</v>
      </c>
      <c r="D102">
        <v>-10.400279246441963</v>
      </c>
      <c r="E102" s="15">
        <v>0</v>
      </c>
      <c r="F102">
        <f t="shared" si="14"/>
        <v>3.7484787786009012E-3</v>
      </c>
      <c r="G102">
        <f t="shared" si="15"/>
        <v>0</v>
      </c>
      <c r="H102" t="e">
        <f t="shared" si="16"/>
        <v>#NUM!</v>
      </c>
    </row>
    <row r="103" spans="1:8" x14ac:dyDescent="0.2">
      <c r="A103" s="1">
        <v>40326</v>
      </c>
      <c r="B103">
        <v>241.90867890000001</v>
      </c>
      <c r="C103" s="2">
        <f t="shared" si="9"/>
        <v>-9.8479336690973918E-3</v>
      </c>
      <c r="D103">
        <v>-1.3123681135503595</v>
      </c>
      <c r="E103" s="15">
        <v>0</v>
      </c>
      <c r="F103">
        <f t="shared" si="14"/>
        <v>3.2900330564717092E-3</v>
      </c>
      <c r="G103">
        <f t="shared" si="15"/>
        <v>0</v>
      </c>
      <c r="H103" t="e">
        <f t="shared" si="16"/>
        <v>#NUM!</v>
      </c>
    </row>
    <row r="104" spans="1:8" x14ac:dyDescent="0.2">
      <c r="A104" s="1">
        <v>40330</v>
      </c>
      <c r="B104">
        <v>240.28477470000001</v>
      </c>
      <c r="C104" s="2">
        <f t="shared" si="9"/>
        <v>-6.712881106143721E-3</v>
      </c>
      <c r="D104">
        <v>-0.31834623062007411</v>
      </c>
      <c r="E104" s="15">
        <v>0</v>
      </c>
      <c r="F104">
        <f t="shared" si="14"/>
        <v>3.2507569367707162E-3</v>
      </c>
      <c r="G104">
        <f t="shared" si="15"/>
        <v>0</v>
      </c>
      <c r="H104" t="e">
        <f t="shared" si="16"/>
        <v>#NUM!</v>
      </c>
    </row>
    <row r="105" spans="1:8" x14ac:dyDescent="0.2">
      <c r="A105" s="1">
        <v>40331</v>
      </c>
      <c r="B105">
        <v>245.7642458</v>
      </c>
      <c r="C105" s="2">
        <f t="shared" si="9"/>
        <v>2.2804071156157124E-2</v>
      </c>
      <c r="D105">
        <v>-4.3970616782243503</v>
      </c>
      <c r="E105" s="15">
        <v>1</v>
      </c>
      <c r="F105">
        <f t="shared" si="14"/>
        <v>3.2473920595250472E-3</v>
      </c>
      <c r="G105">
        <f t="shared" si="15"/>
        <v>307.93941158624892</v>
      </c>
      <c r="H105">
        <f t="shared" si="16"/>
        <v>-4.9769305512795707</v>
      </c>
    </row>
    <row r="106" spans="1:8" x14ac:dyDescent="0.2">
      <c r="A106" s="1">
        <v>40332</v>
      </c>
      <c r="B106">
        <v>251.8564193</v>
      </c>
      <c r="C106" s="2">
        <f t="shared" si="9"/>
        <v>2.4788689177178927E-2</v>
      </c>
      <c r="D106">
        <v>8.7029110172108626E-2</v>
      </c>
      <c r="E106" s="15">
        <v>0</v>
      </c>
      <c r="F106">
        <f t="shared" si="14"/>
        <v>12312.013661546966</v>
      </c>
      <c r="G106">
        <f t="shared" si="15"/>
        <v>0</v>
      </c>
      <c r="H106" t="e">
        <f t="shared" si="16"/>
        <v>#NUM!</v>
      </c>
    </row>
    <row r="107" spans="1:8" x14ac:dyDescent="0.2">
      <c r="A107" s="1">
        <v>40333</v>
      </c>
      <c r="B107">
        <v>248.4292591</v>
      </c>
      <c r="C107" s="2">
        <f t="shared" si="9"/>
        <v>-1.3607595190646003E-2</v>
      </c>
      <c r="D107">
        <v>-1.5489437175715401</v>
      </c>
      <c r="E107" s="15">
        <v>1</v>
      </c>
      <c r="F107">
        <f t="shared" si="14"/>
        <v>1054.8020410381043</v>
      </c>
      <c r="G107">
        <f t="shared" si="15"/>
        <v>9.4804518866481349E-4</v>
      </c>
      <c r="H107">
        <f t="shared" si="16"/>
        <v>-1237895105873.4551</v>
      </c>
    </row>
    <row r="108" spans="1:8" x14ac:dyDescent="0.2">
      <c r="A108" s="1">
        <v>40336</v>
      </c>
      <c r="B108">
        <v>241.8538848</v>
      </c>
      <c r="C108" s="2">
        <f t="shared" si="9"/>
        <v>-2.6467793382393873E-2</v>
      </c>
      <c r="D108">
        <v>0.94507501226874391</v>
      </c>
      <c r="E108" s="15">
        <v>0</v>
      </c>
      <c r="F108">
        <f t="shared" si="14"/>
        <v>90.370332526229276</v>
      </c>
      <c r="G108">
        <f t="shared" si="15"/>
        <v>0</v>
      </c>
      <c r="H108" t="e">
        <f t="shared" si="16"/>
        <v>#NUM!</v>
      </c>
    </row>
    <row r="109" spans="1:8" x14ac:dyDescent="0.2">
      <c r="A109" s="1">
        <v>40337</v>
      </c>
      <c r="B109">
        <v>241.48526200000001</v>
      </c>
      <c r="C109" s="2">
        <f t="shared" si="9"/>
        <v>-1.5241549678014399E-3</v>
      </c>
      <c r="D109">
        <v>-0.94241473228307371</v>
      </c>
      <c r="E109" s="15">
        <v>1</v>
      </c>
      <c r="F109">
        <f t="shared" si="14"/>
        <v>7.745207125299129</v>
      </c>
      <c r="G109">
        <f t="shared" si="15"/>
        <v>0.12911210556701269</v>
      </c>
      <c r="H109">
        <f t="shared" si="16"/>
        <v>-3596.8100820340383</v>
      </c>
    </row>
    <row r="110" spans="1:8" x14ac:dyDescent="0.2">
      <c r="A110" s="1">
        <v>40338</v>
      </c>
      <c r="B110">
        <v>236.1253437</v>
      </c>
      <c r="C110" s="2">
        <f t="shared" si="9"/>
        <v>-2.2195633205971815E-2</v>
      </c>
      <c r="D110">
        <v>13.562582988518896</v>
      </c>
      <c r="E110" s="15">
        <v>0</v>
      </c>
      <c r="F110">
        <f t="shared" si="14"/>
        <v>0.66868331700279604</v>
      </c>
      <c r="G110">
        <f t="shared" si="15"/>
        <v>0</v>
      </c>
      <c r="H110" t="e">
        <f t="shared" si="16"/>
        <v>#NUM!</v>
      </c>
    </row>
    <row r="111" spans="1:8" x14ac:dyDescent="0.2">
      <c r="A111" s="1">
        <v>40339</v>
      </c>
      <c r="B111">
        <v>242.59610369999999</v>
      </c>
      <c r="C111" s="2">
        <f t="shared" si="9"/>
        <v>2.7403919878338685E-2</v>
      </c>
      <c r="D111">
        <v>-2.2346536647111992</v>
      </c>
      <c r="E111" s="15">
        <v>0</v>
      </c>
      <c r="F111">
        <f t="shared" si="14"/>
        <v>6.0256559384084168E-2</v>
      </c>
      <c r="G111">
        <f t="shared" si="15"/>
        <v>0</v>
      </c>
      <c r="H111" t="e">
        <f t="shared" si="16"/>
        <v>#NUM!</v>
      </c>
    </row>
    <row r="112" spans="1:8" x14ac:dyDescent="0.2">
      <c r="A112" s="1">
        <v>40340</v>
      </c>
      <c r="B112">
        <v>243.33832319999999</v>
      </c>
      <c r="C112" s="2">
        <f t="shared" si="9"/>
        <v>3.0594864825935148E-3</v>
      </c>
      <c r="D112">
        <v>-0.888355881341929</v>
      </c>
      <c r="E112" s="15">
        <v>0</v>
      </c>
      <c r="F112">
        <f t="shared" si="14"/>
        <v>8.1312127879053942E-3</v>
      </c>
      <c r="G112">
        <f t="shared" si="15"/>
        <v>0</v>
      </c>
      <c r="H112" t="e">
        <f t="shared" si="16"/>
        <v>#NUM!</v>
      </c>
    </row>
    <row r="113" spans="1:8" x14ac:dyDescent="0.2">
      <c r="A113" s="1">
        <v>40343</v>
      </c>
      <c r="B113">
        <v>240.6932382</v>
      </c>
      <c r="C113" s="2">
        <f t="shared" si="9"/>
        <v>-1.0869989425488055E-2</v>
      </c>
      <c r="D113">
        <v>-4.5528803566648239</v>
      </c>
      <c r="E113" s="15">
        <v>0</v>
      </c>
      <c r="F113">
        <f t="shared" si="14"/>
        <v>3.6655121530321244E-3</v>
      </c>
      <c r="G113">
        <f t="shared" si="15"/>
        <v>0</v>
      </c>
      <c r="H113" t="e">
        <f t="shared" si="16"/>
        <v>#NUM!</v>
      </c>
    </row>
    <row r="114" spans="1:8" x14ac:dyDescent="0.2">
      <c r="A114" s="1">
        <v>40344</v>
      </c>
      <c r="B114">
        <v>248.06561070000001</v>
      </c>
      <c r="C114" s="2">
        <f t="shared" si="9"/>
        <v>3.0629744961402125E-2</v>
      </c>
      <c r="D114">
        <v>-3.8178265647233482</v>
      </c>
      <c r="E114" s="15">
        <v>0</v>
      </c>
      <c r="F114">
        <f t="shared" si="14"/>
        <v>3.2829251111692803E-3</v>
      </c>
      <c r="G114">
        <f t="shared" si="15"/>
        <v>0</v>
      </c>
      <c r="H114" t="e">
        <f t="shared" si="16"/>
        <v>#NUM!</v>
      </c>
    </row>
    <row r="115" spans="1:8" x14ac:dyDescent="0.2">
      <c r="A115" s="1">
        <v>40345</v>
      </c>
      <c r="B115">
        <v>249.69949449999999</v>
      </c>
      <c r="C115" s="2">
        <f t="shared" si="9"/>
        <v>6.5864986097404999E-3</v>
      </c>
      <c r="D115">
        <v>-0.78496397478854518</v>
      </c>
      <c r="E115" s="15">
        <v>0</v>
      </c>
      <c r="F115">
        <f t="shared" si="14"/>
        <v>3.2501479824342469E-3</v>
      </c>
      <c r="G115">
        <f t="shared" si="15"/>
        <v>0</v>
      </c>
      <c r="H115" t="e">
        <f t="shared" si="16"/>
        <v>#NUM!</v>
      </c>
    </row>
    <row r="116" spans="1:8" x14ac:dyDescent="0.2">
      <c r="A116" s="1">
        <v>40346</v>
      </c>
      <c r="B116">
        <v>249.1067199</v>
      </c>
      <c r="C116" s="2">
        <f t="shared" si="9"/>
        <v>-2.3739519424617189E-3</v>
      </c>
      <c r="D116">
        <v>-1.3604270012220119</v>
      </c>
      <c r="E116" s="15">
        <v>0</v>
      </c>
      <c r="F116">
        <f t="shared" si="14"/>
        <v>3.2473398889795342E-3</v>
      </c>
      <c r="G116">
        <f t="shared" si="15"/>
        <v>0</v>
      </c>
      <c r="H116" t="e">
        <f t="shared" si="16"/>
        <v>#NUM!</v>
      </c>
    </row>
    <row r="117" spans="1:8" x14ac:dyDescent="0.2">
      <c r="A117" s="1">
        <v>40347</v>
      </c>
      <c r="B117">
        <v>249.08180229999999</v>
      </c>
      <c r="C117" s="2">
        <f t="shared" si="9"/>
        <v>-1.0002781141356551E-4</v>
      </c>
      <c r="D117">
        <v>-0.95786443287902467</v>
      </c>
      <c r="E117" s="15">
        <v>1</v>
      </c>
      <c r="F117">
        <f t="shared" si="14"/>
        <v>3.2470993130305501E-3</v>
      </c>
      <c r="G117">
        <f t="shared" si="15"/>
        <v>307.96717426751263</v>
      </c>
      <c r="H117">
        <f t="shared" si="16"/>
        <v>-4.9770088565262087</v>
      </c>
    </row>
    <row r="118" spans="1:8" x14ac:dyDescent="0.2">
      <c r="A118" s="1">
        <v>40350</v>
      </c>
      <c r="B118">
        <v>243.36821520000001</v>
      </c>
      <c r="C118" s="2">
        <f t="shared" si="9"/>
        <v>-2.2938597068277212E-2</v>
      </c>
      <c r="D118">
        <v>228.32219293929626</v>
      </c>
      <c r="E118" s="15">
        <v>0</v>
      </c>
      <c r="F118">
        <f t="shared" si="14"/>
        <v>12314.233772468091</v>
      </c>
      <c r="G118">
        <f t="shared" si="15"/>
        <v>0</v>
      </c>
      <c r="H118" t="e">
        <f t="shared" si="16"/>
        <v>#NUM!</v>
      </c>
    </row>
    <row r="119" spans="1:8" x14ac:dyDescent="0.2">
      <c r="A119" s="1">
        <v>40351</v>
      </c>
      <c r="B119">
        <v>242.21753269999999</v>
      </c>
      <c r="C119" s="2">
        <f t="shared" si="9"/>
        <v>-4.7281544101984941E-3</v>
      </c>
      <c r="D119">
        <v>-0.7938777861555768</v>
      </c>
      <c r="E119" s="15">
        <v>1</v>
      </c>
      <c r="F119">
        <f t="shared" si="14"/>
        <v>1054.99224314509</v>
      </c>
      <c r="G119">
        <f t="shared" si="15"/>
        <v>9.4787426779447217E-4</v>
      </c>
      <c r="H119">
        <f t="shared" si="16"/>
        <v>-1238788217340.8672</v>
      </c>
    </row>
    <row r="120" spans="1:8" x14ac:dyDescent="0.2">
      <c r="A120" s="1">
        <v>40352</v>
      </c>
      <c r="B120">
        <v>240.1253662</v>
      </c>
      <c r="C120" s="2">
        <f t="shared" si="9"/>
        <v>-8.6375518595974473E-3</v>
      </c>
      <c r="D120">
        <v>0.82683370935739631</v>
      </c>
      <c r="E120" s="15">
        <v>1</v>
      </c>
      <c r="F120">
        <f t="shared" si="14"/>
        <v>90.386627586563506</v>
      </c>
      <c r="G120">
        <f t="shared" si="15"/>
        <v>1.1063583482438234E-2</v>
      </c>
      <c r="H120">
        <f t="shared" si="16"/>
        <v>-66744687.729479961</v>
      </c>
    </row>
    <row r="121" spans="1:8" x14ac:dyDescent="0.2">
      <c r="A121" s="1">
        <v>40353</v>
      </c>
      <c r="B121">
        <v>236.6633392</v>
      </c>
      <c r="C121" s="2">
        <f t="shared" si="9"/>
        <v>-1.4417581344223707E-2</v>
      </c>
      <c r="D121">
        <v>0.66917450437115389</v>
      </c>
      <c r="E121" s="15">
        <v>0</v>
      </c>
      <c r="F121">
        <f t="shared" si="14"/>
        <v>7.7466190537376258</v>
      </c>
      <c r="G121">
        <f t="shared" si="15"/>
        <v>0</v>
      </c>
      <c r="H121" t="e">
        <f t="shared" si="16"/>
        <v>#NUM!</v>
      </c>
    </row>
    <row r="122" spans="1:8" x14ac:dyDescent="0.2">
      <c r="A122" s="1">
        <v>40354</v>
      </c>
      <c r="B122">
        <v>235.4578472</v>
      </c>
      <c r="C122" s="2">
        <f t="shared" si="9"/>
        <v>-5.0936997849981847E-3</v>
      </c>
      <c r="D122">
        <v>-0.6467021989760483</v>
      </c>
      <c r="E122" s="15">
        <v>0</v>
      </c>
      <c r="F122">
        <f t="shared" si="14"/>
        <v>0.66663990601196166</v>
      </c>
      <c r="G122">
        <f t="shared" si="15"/>
        <v>0</v>
      </c>
      <c r="H122" t="e">
        <f t="shared" si="16"/>
        <v>#NUM!</v>
      </c>
    </row>
    <row r="123" spans="1:8" x14ac:dyDescent="0.2">
      <c r="A123" s="1">
        <v>40357</v>
      </c>
      <c r="B123">
        <v>235.15897240000001</v>
      </c>
      <c r="C123" s="2">
        <f t="shared" si="9"/>
        <v>-1.2693346327341815E-3</v>
      </c>
      <c r="D123">
        <v>-0.75080301425054763</v>
      </c>
      <c r="E123" s="15">
        <v>1</v>
      </c>
      <c r="F123">
        <f t="shared" si="14"/>
        <v>6.0081495574345493E-2</v>
      </c>
      <c r="G123">
        <f t="shared" si="15"/>
        <v>16.644059713237151</v>
      </c>
      <c r="H123">
        <f t="shared" si="16"/>
        <v>-2.4425315610055702</v>
      </c>
    </row>
    <row r="124" spans="1:8" x14ac:dyDescent="0.2">
      <c r="A124" s="1">
        <v>40358</v>
      </c>
      <c r="B124">
        <v>226.28223310000001</v>
      </c>
      <c r="C124" s="2">
        <f t="shared" si="9"/>
        <v>-3.774782314025793E-2</v>
      </c>
      <c r="D124">
        <v>28.738275602666011</v>
      </c>
      <c r="E124" s="15">
        <v>0</v>
      </c>
      <c r="F124">
        <f t="shared" si="14"/>
        <v>35.976171199456488</v>
      </c>
      <c r="G124">
        <f t="shared" si="15"/>
        <v>0</v>
      </c>
      <c r="H124" t="e">
        <f t="shared" si="16"/>
        <v>#NUM!</v>
      </c>
    </row>
    <row r="125" spans="1:8" x14ac:dyDescent="0.2">
      <c r="A125" s="1">
        <v>40359</v>
      </c>
      <c r="B125">
        <v>221.6446061</v>
      </c>
      <c r="C125" s="2">
        <f t="shared" si="9"/>
        <v>-2.0494879056415009E-2</v>
      </c>
      <c r="D125">
        <v>-0.45705798768148603</v>
      </c>
      <c r="E125" s="15">
        <v>0</v>
      </c>
      <c r="F125">
        <f t="shared" si="14"/>
        <v>3.085131813911647</v>
      </c>
      <c r="G125">
        <f t="shared" si="15"/>
        <v>0</v>
      </c>
      <c r="H125" t="e">
        <f t="shared" si="16"/>
        <v>#NUM!</v>
      </c>
    </row>
    <row r="126" spans="1:8" x14ac:dyDescent="0.2">
      <c r="A126" s="1">
        <v>40360</v>
      </c>
      <c r="B126">
        <v>218.9247986</v>
      </c>
      <c r="C126" s="2">
        <f t="shared" si="9"/>
        <v>-1.2271029500139962E-2</v>
      </c>
      <c r="D126">
        <v>-0.40126362949680044</v>
      </c>
      <c r="E126" s="15">
        <v>0</v>
      </c>
      <c r="F126">
        <f t="shared" si="14"/>
        <v>0.26727936674083169</v>
      </c>
      <c r="G126">
        <f t="shared" si="15"/>
        <v>0</v>
      </c>
      <c r="H126" t="e">
        <f t="shared" si="16"/>
        <v>#NUM!</v>
      </c>
    </row>
    <row r="127" spans="1:8" x14ac:dyDescent="0.2">
      <c r="A127" s="1">
        <v>40361</v>
      </c>
      <c r="B127">
        <v>217.460273</v>
      </c>
      <c r="C127" s="2">
        <f t="shared" si="9"/>
        <v>-6.6896286275720329E-3</v>
      </c>
      <c r="D127">
        <v>-0.45484373356809776</v>
      </c>
      <c r="E127" s="15">
        <v>0</v>
      </c>
      <c r="F127">
        <f t="shared" si="14"/>
        <v>2.5867341995994875E-2</v>
      </c>
      <c r="G127">
        <f t="shared" si="15"/>
        <v>0</v>
      </c>
      <c r="H127" t="e">
        <f t="shared" si="16"/>
        <v>#NUM!</v>
      </c>
    </row>
    <row r="128" spans="1:8" x14ac:dyDescent="0.2">
      <c r="A128" s="1">
        <v>40365</v>
      </c>
      <c r="B128">
        <v>217.22118219999999</v>
      </c>
      <c r="C128" s="2">
        <f t="shared" si="9"/>
        <v>-1.0994688671250488E-3</v>
      </c>
      <c r="D128">
        <v>-0.83564575429591592</v>
      </c>
      <c r="E128" s="15">
        <v>0</v>
      </c>
      <c r="F128">
        <f t="shared" si="14"/>
        <v>5.1850079192351621E-3</v>
      </c>
      <c r="G128">
        <f t="shared" si="15"/>
        <v>0</v>
      </c>
      <c r="H128" t="e">
        <f t="shared" si="16"/>
        <v>#NUM!</v>
      </c>
    </row>
    <row r="129" spans="1:8" x14ac:dyDescent="0.2">
      <c r="A129" s="1">
        <v>40366</v>
      </c>
      <c r="B129">
        <v>224.2597992</v>
      </c>
      <c r="C129" s="2">
        <f t="shared" si="9"/>
        <v>3.2402995549114626E-2</v>
      </c>
      <c r="D129">
        <v>-30.471498937340307</v>
      </c>
      <c r="E129" s="15">
        <v>0</v>
      </c>
      <c r="F129">
        <f t="shared" si="14"/>
        <v>3.4131038754543238E-3</v>
      </c>
      <c r="G129">
        <f t="shared" si="15"/>
        <v>0</v>
      </c>
      <c r="H129" t="e">
        <f t="shared" si="16"/>
        <v>#NUM!</v>
      </c>
    </row>
    <row r="130" spans="1:8" x14ac:dyDescent="0.2">
      <c r="A130" s="1">
        <v>40367</v>
      </c>
      <c r="B130">
        <v>227.42794119999999</v>
      </c>
      <c r="C130" s="2">
        <f t="shared" si="9"/>
        <v>1.4127106201386401E-2</v>
      </c>
      <c r="D130">
        <v>-0.56401851242508327</v>
      </c>
      <c r="E130" s="15">
        <v>1</v>
      </c>
      <c r="F130">
        <f t="shared" si="14"/>
        <v>3.2613007023349593E-3</v>
      </c>
      <c r="G130">
        <f t="shared" si="15"/>
        <v>306.62612597606852</v>
      </c>
      <c r="H130">
        <f t="shared" si="16"/>
        <v>-4.9732183121338274</v>
      </c>
    </row>
    <row r="131" spans="1:8" x14ac:dyDescent="0.2">
      <c r="A131" s="1">
        <v>40368</v>
      </c>
      <c r="B131">
        <v>232.8725306</v>
      </c>
      <c r="C131" s="2">
        <f t="shared" si="9"/>
        <v>2.3939843852396499E-2</v>
      </c>
      <c r="D131">
        <v>0.69460351689343847</v>
      </c>
      <c r="E131" s="15">
        <v>0</v>
      </c>
      <c r="F131">
        <f t="shared" si="14"/>
        <v>12207.22222190309</v>
      </c>
      <c r="G131">
        <f t="shared" si="15"/>
        <v>0</v>
      </c>
      <c r="H131" t="e">
        <f t="shared" si="16"/>
        <v>#NUM!</v>
      </c>
    </row>
    <row r="132" spans="1:8" x14ac:dyDescent="0.2">
      <c r="A132" s="1">
        <v>40371</v>
      </c>
      <c r="B132">
        <v>237.02697219999999</v>
      </c>
      <c r="C132" s="2">
        <f t="shared" ref="C132:C195" si="17">(B132-B131)/B131</f>
        <v>1.7839981337841759E-2</v>
      </c>
      <c r="D132">
        <v>-0.25479959485801379</v>
      </c>
      <c r="E132" s="15">
        <v>1</v>
      </c>
      <c r="F132">
        <f t="shared" si="14"/>
        <v>1045.824312752241</v>
      </c>
      <c r="G132">
        <f t="shared" si="15"/>
        <v>9.5618354613343469E-4</v>
      </c>
      <c r="H132">
        <f t="shared" si="16"/>
        <v>-1196285766248.0693</v>
      </c>
    </row>
    <row r="133" spans="1:8" x14ac:dyDescent="0.2">
      <c r="A133" s="1">
        <v>40372</v>
      </c>
      <c r="B133">
        <v>243.68701770000001</v>
      </c>
      <c r="C133" s="2">
        <f t="shared" si="17"/>
        <v>2.8098260034222486E-2</v>
      </c>
      <c r="D133">
        <v>0.57501622351034087</v>
      </c>
      <c r="E133" s="15">
        <v>0</v>
      </c>
      <c r="F133">
        <f t="shared" si="14"/>
        <v>89.601189500445429</v>
      </c>
      <c r="G133">
        <f t="shared" si="15"/>
        <v>0</v>
      </c>
      <c r="H133" t="e">
        <f t="shared" si="16"/>
        <v>#NUM!</v>
      </c>
    </row>
    <row r="134" spans="1:8" x14ac:dyDescent="0.2">
      <c r="A134" s="1">
        <v>40373</v>
      </c>
      <c r="B134">
        <v>244.75302909999999</v>
      </c>
      <c r="C134" s="2">
        <f t="shared" si="17"/>
        <v>4.3745104276023952E-3</v>
      </c>
      <c r="D134">
        <v>-0.84431383216347111</v>
      </c>
      <c r="E134" s="15">
        <v>1</v>
      </c>
      <c r="F134">
        <f t="shared" si="14"/>
        <v>7.6793128392589658</v>
      </c>
      <c r="G134">
        <f t="shared" si="15"/>
        <v>0.13021998464337825</v>
      </c>
      <c r="H134">
        <f t="shared" si="16"/>
        <v>-3475.9079385636414</v>
      </c>
    </row>
    <row r="135" spans="1:8" x14ac:dyDescent="0.2">
      <c r="A135" s="1">
        <v>40374</v>
      </c>
      <c r="B135">
        <v>246.08802270000001</v>
      </c>
      <c r="C135" s="2">
        <f t="shared" si="17"/>
        <v>5.4544517994691427E-3</v>
      </c>
      <c r="D135">
        <v>0.2468713676055054</v>
      </c>
      <c r="E135" s="15">
        <v>0</v>
      </c>
      <c r="F135">
        <f t="shared" si="14"/>
        <v>0.66307530233070844</v>
      </c>
      <c r="G135">
        <f t="shared" si="15"/>
        <v>0</v>
      </c>
      <c r="H135" t="e">
        <f t="shared" si="16"/>
        <v>#NUM!</v>
      </c>
    </row>
    <row r="136" spans="1:8" x14ac:dyDescent="0.2">
      <c r="A136" s="1">
        <v>40375</v>
      </c>
      <c r="B136">
        <v>228.94724600000001</v>
      </c>
      <c r="C136" s="2">
        <f t="shared" si="17"/>
        <v>-6.9653031106255467E-2</v>
      </c>
      <c r="D136">
        <v>-13.769941630620787</v>
      </c>
      <c r="E136" s="15">
        <v>0</v>
      </c>
      <c r="F136">
        <f t="shared" si="14"/>
        <v>5.9776107620846279E-2</v>
      </c>
      <c r="G136">
        <f t="shared" ref="G136:G199" si="18">E136/F136</f>
        <v>0</v>
      </c>
      <c r="H136" t="e">
        <f t="shared" ref="H136:H199" si="19">-LOG(G136^2)-(F136^2)/(G136^2)</f>
        <v>#NUM!</v>
      </c>
    </row>
    <row r="137" spans="1:8" x14ac:dyDescent="0.2">
      <c r="A137" s="1">
        <v>40378</v>
      </c>
      <c r="B137">
        <v>232.2199875</v>
      </c>
      <c r="C137" s="2">
        <f t="shared" si="17"/>
        <v>1.4294740632084279E-2</v>
      </c>
      <c r="D137">
        <v>-1.2052278329463897</v>
      </c>
      <c r="E137" s="15">
        <v>1</v>
      </c>
      <c r="F137">
        <f t="shared" ref="F137:F200" si="20" xml:space="preserve"> $K$5 + $K$6 * G136 ^ 2 + $K$7 * F136</f>
        <v>8.0900513590761655E-3</v>
      </c>
      <c r="G137">
        <f t="shared" si="18"/>
        <v>123.60860958912303</v>
      </c>
      <c r="H137">
        <f t="shared" si="19"/>
        <v>-4.1840974468704957</v>
      </c>
    </row>
    <row r="138" spans="1:8" x14ac:dyDescent="0.2">
      <c r="A138" s="1">
        <v>40379</v>
      </c>
      <c r="B138">
        <v>239.89622460000001</v>
      </c>
      <c r="C138" s="2">
        <f t="shared" si="17"/>
        <v>3.3055884562908304E-2</v>
      </c>
      <c r="D138">
        <v>1.3124508106649369</v>
      </c>
      <c r="E138" s="15">
        <v>0</v>
      </c>
      <c r="F138">
        <f t="shared" si="20"/>
        <v>1983.7944334334736</v>
      </c>
      <c r="G138">
        <f t="shared" si="18"/>
        <v>0</v>
      </c>
      <c r="H138" t="e">
        <f t="shared" si="19"/>
        <v>#NUM!</v>
      </c>
    </row>
    <row r="139" spans="1:8" x14ac:dyDescent="0.2">
      <c r="A139" s="1">
        <v>40380</v>
      </c>
      <c r="B139">
        <v>237.85885210000001</v>
      </c>
      <c r="C139" s="2">
        <f t="shared" si="17"/>
        <v>-8.4927243160958163E-3</v>
      </c>
      <c r="D139">
        <v>-1.2569201952509668</v>
      </c>
      <c r="E139" s="15">
        <v>0</v>
      </c>
      <c r="F139">
        <f t="shared" si="20"/>
        <v>169.95928840539727</v>
      </c>
      <c r="G139">
        <f t="shared" si="18"/>
        <v>0</v>
      </c>
      <c r="H139" t="e">
        <f t="shared" si="19"/>
        <v>#NUM!</v>
      </c>
    </row>
    <row r="140" spans="1:8" x14ac:dyDescent="0.2">
      <c r="A140" s="1">
        <v>40381</v>
      </c>
      <c r="B140">
        <v>241.5002159</v>
      </c>
      <c r="C140" s="2">
        <f t="shared" si="17"/>
        <v>1.5308926986955695E-2</v>
      </c>
      <c r="D140">
        <v>-2.8025931864927589</v>
      </c>
      <c r="E140" s="15">
        <v>0</v>
      </c>
      <c r="F140">
        <f t="shared" si="20"/>
        <v>14.56377954750258</v>
      </c>
      <c r="G140">
        <f t="shared" si="18"/>
        <v>0</v>
      </c>
      <c r="H140" t="e">
        <f t="shared" si="19"/>
        <v>#NUM!</v>
      </c>
    </row>
    <row r="141" spans="1:8" x14ac:dyDescent="0.2">
      <c r="A141" s="1">
        <v>40382</v>
      </c>
      <c r="B141">
        <v>244.115409</v>
      </c>
      <c r="C141" s="2">
        <f t="shared" si="17"/>
        <v>1.0828947254783797E-2</v>
      </c>
      <c r="D141">
        <v>-0.29263838909083323</v>
      </c>
      <c r="E141" s="15">
        <v>0</v>
      </c>
      <c r="F141">
        <f t="shared" si="20"/>
        <v>1.2506820262665803</v>
      </c>
      <c r="G141">
        <f t="shared" si="18"/>
        <v>0</v>
      </c>
      <c r="H141" t="e">
        <f t="shared" si="19"/>
        <v>#NUM!</v>
      </c>
    </row>
    <row r="142" spans="1:8" x14ac:dyDescent="0.2">
      <c r="A142" s="1">
        <v>40385</v>
      </c>
      <c r="B142">
        <v>243.57245459999999</v>
      </c>
      <c r="C142" s="2">
        <f t="shared" si="17"/>
        <v>-2.2241709453089606E-3</v>
      </c>
      <c r="D142">
        <v>-1.2053912437634611</v>
      </c>
      <c r="E142" s="15">
        <v>0</v>
      </c>
      <c r="F142">
        <f t="shared" si="20"/>
        <v>0.11011775312519659</v>
      </c>
      <c r="G142">
        <f t="shared" si="18"/>
        <v>0</v>
      </c>
      <c r="H142" t="e">
        <f t="shared" si="19"/>
        <v>#NUM!</v>
      </c>
    </row>
    <row r="143" spans="1:8" x14ac:dyDescent="0.2">
      <c r="A143" s="1">
        <v>40386</v>
      </c>
      <c r="B143">
        <v>245.3956235</v>
      </c>
      <c r="C143" s="2">
        <f t="shared" si="17"/>
        <v>7.4851193785194677E-3</v>
      </c>
      <c r="D143">
        <v>-4.3653525572332779</v>
      </c>
      <c r="E143" s="15">
        <v>0</v>
      </c>
      <c r="F143">
        <f t="shared" si="20"/>
        <v>1.2402938140069248E-2</v>
      </c>
      <c r="G143">
        <f t="shared" si="18"/>
        <v>0</v>
      </c>
      <c r="H143" t="e">
        <f t="shared" si="19"/>
        <v>#NUM!</v>
      </c>
    </row>
    <row r="144" spans="1:8" x14ac:dyDescent="0.2">
      <c r="A144" s="1">
        <v>40387</v>
      </c>
      <c r="B144">
        <v>241.27107430000001</v>
      </c>
      <c r="C144" s="2">
        <f t="shared" si="17"/>
        <v>-1.6807753704702846E-2</v>
      </c>
      <c r="D144">
        <v>-3.2454890636663922</v>
      </c>
      <c r="E144" s="15">
        <v>0</v>
      </c>
      <c r="F144">
        <f t="shared" si="20"/>
        <v>4.0314808777093588E-3</v>
      </c>
      <c r="G144">
        <f t="shared" si="18"/>
        <v>0</v>
      </c>
      <c r="H144" t="e">
        <f t="shared" si="19"/>
        <v>#NUM!</v>
      </c>
    </row>
    <row r="145" spans="1:8" x14ac:dyDescent="0.2">
      <c r="A145" s="1">
        <v>40388</v>
      </c>
      <c r="B145">
        <v>241.58987629999999</v>
      </c>
      <c r="C145" s="2">
        <f t="shared" si="17"/>
        <v>1.321343641897054E-3</v>
      </c>
      <c r="D145">
        <v>-1.0786151240143018</v>
      </c>
      <c r="E145" s="15">
        <v>0</v>
      </c>
      <c r="F145">
        <f t="shared" si="20"/>
        <v>3.3142785097144459E-3</v>
      </c>
      <c r="G145">
        <f t="shared" si="18"/>
        <v>0</v>
      </c>
      <c r="H145" t="e">
        <f t="shared" si="19"/>
        <v>#NUM!</v>
      </c>
    </row>
    <row r="146" spans="1:8" x14ac:dyDescent="0.2">
      <c r="A146" s="1">
        <v>40389</v>
      </c>
      <c r="B146">
        <v>241.52014370000001</v>
      </c>
      <c r="C146" s="2">
        <f t="shared" si="17"/>
        <v>-2.8864040607971657E-4</v>
      </c>
      <c r="D146">
        <v>-1.2184446172271397</v>
      </c>
      <c r="E146" s="15">
        <v>0</v>
      </c>
      <c r="F146">
        <f t="shared" si="20"/>
        <v>3.2528341015860924E-3</v>
      </c>
      <c r="G146">
        <f t="shared" si="18"/>
        <v>0</v>
      </c>
      <c r="H146" t="e">
        <f t="shared" si="19"/>
        <v>#NUM!</v>
      </c>
    </row>
    <row r="147" spans="1:8" x14ac:dyDescent="0.2">
      <c r="A147" s="1">
        <v>40392</v>
      </c>
      <c r="B147">
        <v>244.28975600000001</v>
      </c>
      <c r="C147" s="2">
        <f t="shared" si="17"/>
        <v>1.1467417406973022E-2</v>
      </c>
      <c r="D147">
        <v>-40.72907869248894</v>
      </c>
      <c r="E147" s="15">
        <v>0</v>
      </c>
      <c r="F147">
        <f t="shared" si="20"/>
        <v>3.2475700151040599E-3</v>
      </c>
      <c r="G147">
        <f t="shared" si="18"/>
        <v>0</v>
      </c>
      <c r="H147" t="e">
        <f t="shared" si="19"/>
        <v>#NUM!</v>
      </c>
    </row>
    <row r="148" spans="1:8" x14ac:dyDescent="0.2">
      <c r="A148" s="1">
        <v>40393</v>
      </c>
      <c r="B148">
        <v>244.0008454</v>
      </c>
      <c r="C148" s="2">
        <f t="shared" si="17"/>
        <v>-1.1826554036920333E-3</v>
      </c>
      <c r="D148">
        <v>-1.1031318004499333</v>
      </c>
      <c r="E148" s="15">
        <v>0</v>
      </c>
      <c r="F148">
        <f t="shared" si="20"/>
        <v>3.2471190284750987E-3</v>
      </c>
      <c r="G148">
        <f t="shared" si="18"/>
        <v>0</v>
      </c>
      <c r="H148" t="e">
        <f t="shared" si="19"/>
        <v>#NUM!</v>
      </c>
    </row>
    <row r="149" spans="1:8" x14ac:dyDescent="0.2">
      <c r="A149" s="1">
        <v>40394</v>
      </c>
      <c r="B149">
        <v>252.21506249999999</v>
      </c>
      <c r="C149" s="2">
        <f t="shared" si="17"/>
        <v>3.3664707540394384E-2</v>
      </c>
      <c r="D149">
        <v>-29.465356379634628</v>
      </c>
      <c r="E149" s="15">
        <v>0</v>
      </c>
      <c r="F149">
        <f t="shared" si="20"/>
        <v>3.247080391393395E-3</v>
      </c>
      <c r="G149">
        <f t="shared" si="18"/>
        <v>0</v>
      </c>
      <c r="H149" t="e">
        <f t="shared" si="19"/>
        <v>#NUM!</v>
      </c>
    </row>
    <row r="150" spans="1:8" x14ac:dyDescent="0.2">
      <c r="A150" s="1">
        <v>40395</v>
      </c>
      <c r="B150">
        <v>253.1017525</v>
      </c>
      <c r="C150" s="2">
        <f t="shared" si="17"/>
        <v>3.515610809326726E-3</v>
      </c>
      <c r="D150">
        <v>-0.89556983956838676</v>
      </c>
      <c r="E150" s="15">
        <v>0</v>
      </c>
      <c r="F150">
        <f t="shared" si="20"/>
        <v>3.2470770812640325E-3</v>
      </c>
      <c r="G150">
        <f t="shared" si="18"/>
        <v>0</v>
      </c>
      <c r="H150" t="e">
        <f t="shared" si="19"/>
        <v>#NUM!</v>
      </c>
    </row>
    <row r="151" spans="1:8" x14ac:dyDescent="0.2">
      <c r="A151" s="1">
        <v>40396</v>
      </c>
      <c r="B151">
        <v>249.17645250000001</v>
      </c>
      <c r="C151" s="2">
        <f t="shared" si="17"/>
        <v>-1.5508782381899915E-2</v>
      </c>
      <c r="D151">
        <v>-5.4114047950802604</v>
      </c>
      <c r="E151" s="15">
        <v>0</v>
      </c>
      <c r="F151">
        <f t="shared" si="20"/>
        <v>3.2470767976774907E-3</v>
      </c>
      <c r="G151">
        <f t="shared" si="18"/>
        <v>0</v>
      </c>
      <c r="H151" t="e">
        <f t="shared" si="19"/>
        <v>#NUM!</v>
      </c>
    </row>
    <row r="152" spans="1:8" x14ac:dyDescent="0.2">
      <c r="A152" s="1">
        <v>40399</v>
      </c>
      <c r="B152">
        <v>251.73187709999999</v>
      </c>
      <c r="C152" s="2">
        <f t="shared" si="17"/>
        <v>1.025548190593965E-2</v>
      </c>
      <c r="D152">
        <v>-1.6612693152435152</v>
      </c>
      <c r="E152" s="15">
        <v>0</v>
      </c>
      <c r="F152">
        <f t="shared" si="20"/>
        <v>3.2470767733819668E-3</v>
      </c>
      <c r="G152">
        <f t="shared" si="18"/>
        <v>0</v>
      </c>
      <c r="H152" t="e">
        <f t="shared" si="19"/>
        <v>#NUM!</v>
      </c>
    </row>
    <row r="153" spans="1:8" x14ac:dyDescent="0.2">
      <c r="A153" s="1">
        <v>40400</v>
      </c>
      <c r="B153">
        <v>250.9149352</v>
      </c>
      <c r="C153" s="2">
        <f t="shared" si="17"/>
        <v>-3.2452858549791869E-3</v>
      </c>
      <c r="D153">
        <v>-1.3164440135279865</v>
      </c>
      <c r="E153" s="15">
        <v>1</v>
      </c>
      <c r="F153">
        <f t="shared" si="20"/>
        <v>3.2470767713005124E-3</v>
      </c>
      <c r="G153">
        <f t="shared" si="18"/>
        <v>307.9693122252487</v>
      </c>
      <c r="H153">
        <f t="shared" si="19"/>
        <v>-4.9770148863897878</v>
      </c>
    </row>
    <row r="154" spans="1:8" x14ac:dyDescent="0.2">
      <c r="A154" s="1">
        <v>40401</v>
      </c>
      <c r="B154">
        <v>244.95227869999999</v>
      </c>
      <c r="C154" s="2">
        <f t="shared" si="17"/>
        <v>-2.37636571742821E-2</v>
      </c>
      <c r="D154">
        <v>6.3225158695410215</v>
      </c>
      <c r="E154" s="15">
        <v>0</v>
      </c>
      <c r="F154">
        <f t="shared" si="20"/>
        <v>12314.404747803788</v>
      </c>
      <c r="G154">
        <f t="shared" si="18"/>
        <v>0</v>
      </c>
      <c r="H154" t="e">
        <f t="shared" si="19"/>
        <v>#NUM!</v>
      </c>
    </row>
    <row r="155" spans="1:8" x14ac:dyDescent="0.2">
      <c r="A155" s="1">
        <v>40402</v>
      </c>
      <c r="B155">
        <v>245.0867696</v>
      </c>
      <c r="C155" s="2">
        <f t="shared" si="17"/>
        <v>5.490493932686284E-4</v>
      </c>
      <c r="D155">
        <v>-1.0231045831557792</v>
      </c>
      <c r="E155" s="15">
        <v>0</v>
      </c>
      <c r="F155">
        <f t="shared" si="20"/>
        <v>1055.0068910028988</v>
      </c>
      <c r="G155">
        <f t="shared" si="18"/>
        <v>0</v>
      </c>
      <c r="H155" t="e">
        <f t="shared" si="19"/>
        <v>#NUM!</v>
      </c>
    </row>
    <row r="156" spans="1:8" x14ac:dyDescent="0.2">
      <c r="A156" s="1">
        <v>40403</v>
      </c>
      <c r="B156">
        <v>242.2673375</v>
      </c>
      <c r="C156" s="2">
        <f t="shared" si="17"/>
        <v>-1.1503811913639913E-2</v>
      </c>
      <c r="D156">
        <v>-21.952234998667137</v>
      </c>
      <c r="E156" s="15">
        <v>0</v>
      </c>
      <c r="F156">
        <f t="shared" si="20"/>
        <v>90.387882386225343</v>
      </c>
      <c r="G156">
        <f t="shared" si="18"/>
        <v>0</v>
      </c>
      <c r="H156" t="e">
        <f t="shared" si="19"/>
        <v>#NUM!</v>
      </c>
    </row>
    <row r="157" spans="1:8" x14ac:dyDescent="0.2">
      <c r="A157" s="1">
        <v>40406</v>
      </c>
      <c r="B157">
        <v>241.88875110000001</v>
      </c>
      <c r="C157" s="2">
        <f t="shared" si="17"/>
        <v>-1.5626803179771974E-3</v>
      </c>
      <c r="D157">
        <v>-0.86415978201761556</v>
      </c>
      <c r="E157" s="15">
        <v>0</v>
      </c>
      <c r="F157">
        <f t="shared" si="20"/>
        <v>7.7467106629452864</v>
      </c>
      <c r="G157">
        <f t="shared" si="18"/>
        <v>0</v>
      </c>
      <c r="H157" t="e">
        <f t="shared" si="19"/>
        <v>#NUM!</v>
      </c>
    </row>
    <row r="158" spans="1:8" x14ac:dyDescent="0.2">
      <c r="A158" s="1">
        <v>40407</v>
      </c>
      <c r="B158">
        <v>244.34455059999999</v>
      </c>
      <c r="C158" s="2">
        <f t="shared" si="17"/>
        <v>1.0152599030885581E-2</v>
      </c>
      <c r="D158">
        <v>-7.4969136131614906</v>
      </c>
      <c r="E158" s="15">
        <v>0</v>
      </c>
      <c r="F158">
        <f t="shared" si="20"/>
        <v>0.66664775438753177</v>
      </c>
      <c r="G158">
        <f t="shared" si="18"/>
        <v>0</v>
      </c>
      <c r="H158" t="e">
        <f t="shared" si="19"/>
        <v>#NUM!</v>
      </c>
    </row>
    <row r="159" spans="1:8" x14ac:dyDescent="0.2">
      <c r="A159" s="1">
        <v>40408</v>
      </c>
      <c r="B159">
        <v>240.17517050000001</v>
      </c>
      <c r="C159" s="2">
        <f t="shared" si="17"/>
        <v>-1.7063528078534458E-2</v>
      </c>
      <c r="D159">
        <v>-2.6807054062339009</v>
      </c>
      <c r="E159" s="15">
        <v>1</v>
      </c>
      <c r="F159">
        <f t="shared" si="20"/>
        <v>6.0082167963078706E-2</v>
      </c>
      <c r="G159">
        <f t="shared" si="18"/>
        <v>16.643873447018645</v>
      </c>
      <c r="H159">
        <f t="shared" si="19"/>
        <v>-2.4425218410225287</v>
      </c>
    </row>
    <row r="160" spans="1:8" x14ac:dyDescent="0.2">
      <c r="A160" s="1">
        <v>40409</v>
      </c>
      <c r="B160">
        <v>233.11163640000001</v>
      </c>
      <c r="C160" s="2">
        <f t="shared" si="17"/>
        <v>-2.9409926451993498E-2</v>
      </c>
      <c r="D160">
        <v>0.72355484262311121</v>
      </c>
      <c r="E160" s="15">
        <v>0</v>
      </c>
      <c r="F160">
        <f t="shared" si="20"/>
        <v>35.975366213554658</v>
      </c>
      <c r="G160">
        <f t="shared" si="18"/>
        <v>0</v>
      </c>
      <c r="H160" t="e">
        <f t="shared" si="19"/>
        <v>#NUM!</v>
      </c>
    </row>
    <row r="161" spans="1:8" x14ac:dyDescent="0.2">
      <c r="A161" s="1">
        <v>40410</v>
      </c>
      <c r="B161">
        <v>230.14774869999999</v>
      </c>
      <c r="C161" s="2">
        <f t="shared" si="17"/>
        <v>-1.2714456239817358E-2</v>
      </c>
      <c r="D161">
        <v>-0.56768146766461802</v>
      </c>
      <c r="E161" s="15">
        <v>0</v>
      </c>
      <c r="F161">
        <f t="shared" si="20"/>
        <v>3.0850628488823935</v>
      </c>
      <c r="G161">
        <f t="shared" si="18"/>
        <v>0</v>
      </c>
      <c r="H161" t="e">
        <f t="shared" si="19"/>
        <v>#NUM!</v>
      </c>
    </row>
    <row r="162" spans="1:8" x14ac:dyDescent="0.2">
      <c r="A162" s="1">
        <v>40413</v>
      </c>
      <c r="B162">
        <v>231.16891469999999</v>
      </c>
      <c r="C162" s="2">
        <f t="shared" si="17"/>
        <v>4.4370019075489391E-3</v>
      </c>
      <c r="D162">
        <v>-1.3489729976539426</v>
      </c>
      <c r="E162" s="15">
        <v>0</v>
      </c>
      <c r="F162">
        <f t="shared" si="20"/>
        <v>0.26727345834510802</v>
      </c>
      <c r="G162">
        <f t="shared" si="18"/>
        <v>0</v>
      </c>
      <c r="H162" t="e">
        <f t="shared" si="19"/>
        <v>#NUM!</v>
      </c>
    </row>
    <row r="163" spans="1:8" x14ac:dyDescent="0.2">
      <c r="A163" s="1">
        <v>40414</v>
      </c>
      <c r="B163">
        <v>224.85258880000001</v>
      </c>
      <c r="C163" s="2">
        <f t="shared" si="17"/>
        <v>-2.7323422390925736E-2</v>
      </c>
      <c r="D163">
        <v>-7.1580821825743977</v>
      </c>
      <c r="E163" s="15">
        <v>0</v>
      </c>
      <c r="F163">
        <f t="shared" si="20"/>
        <v>2.5866835809882794E-2</v>
      </c>
      <c r="G163">
        <f t="shared" si="18"/>
        <v>0</v>
      </c>
      <c r="H163" t="e">
        <f t="shared" si="19"/>
        <v>#NUM!</v>
      </c>
    </row>
    <row r="164" spans="1:8" x14ac:dyDescent="0.2">
      <c r="A164" s="1">
        <v>40415</v>
      </c>
      <c r="B164">
        <v>226.46155450000001</v>
      </c>
      <c r="C164" s="2">
        <f t="shared" si="17"/>
        <v>7.1556467665628174E-3</v>
      </c>
      <c r="D164">
        <v>-1.2618869138786672</v>
      </c>
      <c r="E164" s="15">
        <v>0</v>
      </c>
      <c r="F164">
        <f t="shared" si="20"/>
        <v>5.1849645530843407E-3</v>
      </c>
      <c r="G164">
        <f t="shared" si="18"/>
        <v>0</v>
      </c>
      <c r="H164" t="e">
        <f t="shared" si="19"/>
        <v>#NUM!</v>
      </c>
    </row>
    <row r="165" spans="1:8" x14ac:dyDescent="0.2">
      <c r="A165" s="1">
        <v>40416</v>
      </c>
      <c r="B165">
        <v>224.64834980000001</v>
      </c>
      <c r="C165" s="2">
        <f t="shared" si="17"/>
        <v>-8.0066777957227171E-3</v>
      </c>
      <c r="D165">
        <v>-2.1189313917976822</v>
      </c>
      <c r="E165" s="15">
        <v>0</v>
      </c>
      <c r="F165">
        <f t="shared" si="20"/>
        <v>3.4131001601745243E-3</v>
      </c>
      <c r="G165">
        <f t="shared" si="18"/>
        <v>0</v>
      </c>
      <c r="H165" t="e">
        <f t="shared" si="19"/>
        <v>#NUM!</v>
      </c>
    </row>
    <row r="166" spans="1:8" x14ac:dyDescent="0.2">
      <c r="A166" s="1">
        <v>40417</v>
      </c>
      <c r="B166">
        <v>228.5586959</v>
      </c>
      <c r="C166" s="2">
        <f t="shared" si="17"/>
        <v>1.740652047291379E-2</v>
      </c>
      <c r="D166">
        <v>-3.1740003678195472</v>
      </c>
      <c r="E166" s="15">
        <v>0</v>
      </c>
      <c r="F166">
        <f t="shared" si="20"/>
        <v>3.2613003840382296E-3</v>
      </c>
      <c r="G166">
        <f t="shared" si="18"/>
        <v>0</v>
      </c>
      <c r="H166" t="e">
        <f t="shared" si="19"/>
        <v>#NUM!</v>
      </c>
    </row>
    <row r="167" spans="1:8" x14ac:dyDescent="0.2">
      <c r="A167" s="1">
        <v>40420</v>
      </c>
      <c r="B167">
        <v>225.5001575</v>
      </c>
      <c r="C167" s="2">
        <f t="shared" si="17"/>
        <v>-1.3381850941861291E-2</v>
      </c>
      <c r="D167">
        <v>-1.7687837993058251</v>
      </c>
      <c r="E167" s="15">
        <v>0</v>
      </c>
      <c r="F167">
        <f t="shared" si="20"/>
        <v>3.248295341368352E-3</v>
      </c>
      <c r="G167">
        <f t="shared" si="18"/>
        <v>0</v>
      </c>
      <c r="H167" t="e">
        <f t="shared" si="19"/>
        <v>#NUM!</v>
      </c>
    </row>
    <row r="168" spans="1:8" x14ac:dyDescent="0.2">
      <c r="A168" s="1">
        <v>40421</v>
      </c>
      <c r="B168">
        <v>224.17013829999999</v>
      </c>
      <c r="C168" s="2">
        <f t="shared" si="17"/>
        <v>-5.8980854592086459E-3</v>
      </c>
      <c r="D168">
        <v>-0.55924741018014379</v>
      </c>
      <c r="E168" s="15">
        <v>0</v>
      </c>
      <c r="F168">
        <f t="shared" si="20"/>
        <v>3.2471811688764671E-3</v>
      </c>
      <c r="G168">
        <f t="shared" si="18"/>
        <v>0</v>
      </c>
      <c r="H168" t="e">
        <f t="shared" si="19"/>
        <v>#NUM!</v>
      </c>
    </row>
    <row r="169" spans="1:8" x14ac:dyDescent="0.2">
      <c r="A169" s="1">
        <v>40422</v>
      </c>
      <c r="B169">
        <v>229.30590470000001</v>
      </c>
      <c r="C169" s="2">
        <f t="shared" si="17"/>
        <v>2.2910127276305575E-2</v>
      </c>
      <c r="D169">
        <v>-4.8843328796696444</v>
      </c>
      <c r="E169" s="15">
        <v>0</v>
      </c>
      <c r="F169">
        <f t="shared" si="20"/>
        <v>3.2470857151072497E-3</v>
      </c>
      <c r="G169">
        <f t="shared" si="18"/>
        <v>0</v>
      </c>
      <c r="H169" t="e">
        <f t="shared" si="19"/>
        <v>#NUM!</v>
      </c>
    </row>
    <row r="170" spans="1:8" x14ac:dyDescent="0.2">
      <c r="A170" s="1">
        <v>40423</v>
      </c>
      <c r="B170">
        <v>230.7255849</v>
      </c>
      <c r="C170" s="2">
        <f t="shared" si="17"/>
        <v>6.1912064665641713E-3</v>
      </c>
      <c r="D170">
        <v>-0.72976114921162727</v>
      </c>
      <c r="E170" s="15">
        <v>1</v>
      </c>
      <c r="F170">
        <f t="shared" si="20"/>
        <v>3.2470775373590784E-3</v>
      </c>
      <c r="G170">
        <f t="shared" si="18"/>
        <v>307.96923956836662</v>
      </c>
      <c r="H170">
        <f t="shared" si="19"/>
        <v>-4.9770146814701066</v>
      </c>
    </row>
    <row r="171" spans="1:8" x14ac:dyDescent="0.2">
      <c r="A171" s="1">
        <v>40424</v>
      </c>
      <c r="B171">
        <v>234.27229790000001</v>
      </c>
      <c r="C171" s="2">
        <f t="shared" si="17"/>
        <v>1.5371997004741416E-2</v>
      </c>
      <c r="D171">
        <v>1.4828758478268214</v>
      </c>
      <c r="E171" s="15">
        <v>0</v>
      </c>
      <c r="F171">
        <f t="shared" si="20"/>
        <v>12314.398937316404</v>
      </c>
      <c r="G171">
        <f t="shared" si="18"/>
        <v>0</v>
      </c>
      <c r="H171" t="e">
        <f t="shared" si="19"/>
        <v>#NUM!</v>
      </c>
    </row>
    <row r="172" spans="1:8" x14ac:dyDescent="0.2">
      <c r="A172" s="1">
        <v>40428</v>
      </c>
      <c r="B172">
        <v>231.33329749999999</v>
      </c>
      <c r="C172" s="2">
        <f t="shared" si="17"/>
        <v>-1.2545232305932087E-2</v>
      </c>
      <c r="D172">
        <v>-1.816109468539616</v>
      </c>
      <c r="E172" s="15">
        <v>0</v>
      </c>
      <c r="F172">
        <f t="shared" si="20"/>
        <v>1055.0063932048236</v>
      </c>
      <c r="G172">
        <f t="shared" si="18"/>
        <v>0</v>
      </c>
      <c r="H172" t="e">
        <f t="shared" si="19"/>
        <v>#NUM!</v>
      </c>
    </row>
    <row r="173" spans="1:8" x14ac:dyDescent="0.2">
      <c r="A173" s="1">
        <v>40429</v>
      </c>
      <c r="B173">
        <v>234.41176369999999</v>
      </c>
      <c r="C173" s="2">
        <f t="shared" si="17"/>
        <v>1.3307492839417154E-2</v>
      </c>
      <c r="D173">
        <v>-2.0607609739617678</v>
      </c>
      <c r="E173" s="15">
        <v>0</v>
      </c>
      <c r="F173">
        <f t="shared" si="20"/>
        <v>90.387839738697309</v>
      </c>
      <c r="G173">
        <f t="shared" si="18"/>
        <v>0</v>
      </c>
      <c r="H173" t="e">
        <f t="shared" si="19"/>
        <v>#NUM!</v>
      </c>
    </row>
    <row r="174" spans="1:8" x14ac:dyDescent="0.2">
      <c r="A174" s="1">
        <v>40430</v>
      </c>
      <c r="B174">
        <v>237.2013192</v>
      </c>
      <c r="C174" s="2">
        <f t="shared" si="17"/>
        <v>1.190023681392576E-2</v>
      </c>
      <c r="D174">
        <v>-0.1057491476773945</v>
      </c>
      <c r="E174" s="15">
        <v>0</v>
      </c>
      <c r="F174">
        <f t="shared" si="20"/>
        <v>7.7467070092315859</v>
      </c>
      <c r="G174">
        <f t="shared" si="18"/>
        <v>0</v>
      </c>
      <c r="H174" t="e">
        <f t="shared" si="19"/>
        <v>#NUM!</v>
      </c>
    </row>
    <row r="175" spans="1:8" x14ac:dyDescent="0.2">
      <c r="A175" s="1">
        <v>40431</v>
      </c>
      <c r="B175">
        <v>237.1813914</v>
      </c>
      <c r="C175" s="2">
        <f t="shared" si="17"/>
        <v>-8.4012180316765013E-5</v>
      </c>
      <c r="D175">
        <v>-1.0070597065949523</v>
      </c>
      <c r="E175" s="15">
        <v>0</v>
      </c>
      <c r="F175">
        <f t="shared" si="20"/>
        <v>0.66664744136531406</v>
      </c>
      <c r="G175">
        <f t="shared" si="18"/>
        <v>0</v>
      </c>
      <c r="H175" t="e">
        <f t="shared" si="19"/>
        <v>#NUM!</v>
      </c>
    </row>
    <row r="176" spans="1:8" x14ac:dyDescent="0.2">
      <c r="A176" s="1">
        <v>40434</v>
      </c>
      <c r="B176">
        <v>240.23495489999999</v>
      </c>
      <c r="C176" s="2">
        <f t="shared" si="17"/>
        <v>1.2874380582624391E-2</v>
      </c>
      <c r="D176">
        <v>-154.24421451844228</v>
      </c>
      <c r="E176" s="15">
        <v>0</v>
      </c>
      <c r="F176">
        <f t="shared" si="20"/>
        <v>6.008214114573153E-2</v>
      </c>
      <c r="G176">
        <f t="shared" si="18"/>
        <v>0</v>
      </c>
      <c r="H176" t="e">
        <f t="shared" si="19"/>
        <v>#NUM!</v>
      </c>
    </row>
    <row r="177" spans="1:8" x14ac:dyDescent="0.2">
      <c r="A177" s="1">
        <v>40435</v>
      </c>
      <c r="B177">
        <v>239.3183884</v>
      </c>
      <c r="C177" s="2">
        <f t="shared" si="17"/>
        <v>-3.8152919935465547E-3</v>
      </c>
      <c r="D177">
        <v>-1.2963476160317782</v>
      </c>
      <c r="E177" s="15">
        <v>0</v>
      </c>
      <c r="F177">
        <f t="shared" si="20"/>
        <v>8.1162699685553546E-3</v>
      </c>
      <c r="G177">
        <f t="shared" si="18"/>
        <v>0</v>
      </c>
      <c r="H177" t="e">
        <f t="shared" si="19"/>
        <v>#NUM!</v>
      </c>
    </row>
    <row r="178" spans="1:8" x14ac:dyDescent="0.2">
      <c r="A178" s="1">
        <v>40436</v>
      </c>
      <c r="B178">
        <v>239.42300280000001</v>
      </c>
      <c r="C178" s="2">
        <f t="shared" si="17"/>
        <v>4.3713481734278074E-4</v>
      </c>
      <c r="D178">
        <v>-1.1145744069083521</v>
      </c>
      <c r="E178" s="15">
        <v>1</v>
      </c>
      <c r="F178">
        <f t="shared" si="20"/>
        <v>3.6642319666695239E-3</v>
      </c>
      <c r="G178">
        <f t="shared" si="18"/>
        <v>272.90848644304447</v>
      </c>
      <c r="H178">
        <f t="shared" si="19"/>
        <v>-4.8720340818394519</v>
      </c>
    </row>
    <row r="179" spans="1:8" x14ac:dyDescent="0.2">
      <c r="A179" s="1">
        <v>40437</v>
      </c>
      <c r="B179">
        <v>239.63221609999999</v>
      </c>
      <c r="C179" s="2">
        <f t="shared" si="17"/>
        <v>8.7382288900098785E-4</v>
      </c>
      <c r="D179">
        <v>0.99897801395164709</v>
      </c>
      <c r="E179" s="15">
        <v>1</v>
      </c>
      <c r="F179">
        <f t="shared" si="20"/>
        <v>9670.1375608737508</v>
      </c>
      <c r="G179">
        <f t="shared" si="18"/>
        <v>1.0341114526085856E-4</v>
      </c>
      <c r="H179">
        <f t="shared" si="19"/>
        <v>-8744411937087300</v>
      </c>
    </row>
    <row r="180" spans="1:8" x14ac:dyDescent="0.2">
      <c r="A180" s="1">
        <v>40438</v>
      </c>
      <c r="B180">
        <v>244.16025440000001</v>
      </c>
      <c r="C180" s="2">
        <f t="shared" si="17"/>
        <v>1.889578276950225E-2</v>
      </c>
      <c r="D180">
        <v>20.624270784558139</v>
      </c>
      <c r="E180" s="15">
        <v>1</v>
      </c>
      <c r="F180">
        <f t="shared" si="20"/>
        <v>828.4663224219828</v>
      </c>
      <c r="G180">
        <f t="shared" si="18"/>
        <v>1.2070496686896657E-3</v>
      </c>
      <c r="H180">
        <f t="shared" si="19"/>
        <v>-471085172864.42267</v>
      </c>
    </row>
    <row r="181" spans="1:8" x14ac:dyDescent="0.2">
      <c r="A181" s="1">
        <v>40441</v>
      </c>
      <c r="B181">
        <v>253.19141289999999</v>
      </c>
      <c r="C181" s="2">
        <f t="shared" si="17"/>
        <v>3.6988651253633258E-2</v>
      </c>
      <c r="D181">
        <v>0.95750828133634436</v>
      </c>
      <c r="E181" s="15">
        <v>0</v>
      </c>
      <c r="F181">
        <f t="shared" si="20"/>
        <v>70.979621009790861</v>
      </c>
      <c r="G181">
        <f t="shared" si="18"/>
        <v>0</v>
      </c>
      <c r="H181" t="e">
        <f t="shared" si="19"/>
        <v>#NUM!</v>
      </c>
    </row>
    <row r="182" spans="1:8" x14ac:dyDescent="0.2">
      <c r="A182" s="1">
        <v>40442</v>
      </c>
      <c r="B182">
        <v>255.77173970000001</v>
      </c>
      <c r="C182" s="2">
        <f t="shared" si="17"/>
        <v>1.019120976673543E-2</v>
      </c>
      <c r="D182">
        <v>-0.72447738910906123</v>
      </c>
      <c r="E182" s="15">
        <v>0</v>
      </c>
      <c r="F182">
        <f t="shared" si="20"/>
        <v>6.083959414076209</v>
      </c>
      <c r="G182">
        <f t="shared" si="18"/>
        <v>0</v>
      </c>
      <c r="H182" t="e">
        <f t="shared" si="19"/>
        <v>#NUM!</v>
      </c>
    </row>
    <row r="183" spans="1:8" x14ac:dyDescent="0.2">
      <c r="A183" s="1">
        <v>40443</v>
      </c>
      <c r="B183">
        <v>257.03700070000002</v>
      </c>
      <c r="C183" s="2">
        <f t="shared" si="17"/>
        <v>4.9468365875137751E-3</v>
      </c>
      <c r="D183">
        <v>-0.51459770716716347</v>
      </c>
      <c r="E183" s="15">
        <v>0</v>
      </c>
      <c r="F183">
        <f t="shared" si="20"/>
        <v>0.52419595708369771</v>
      </c>
      <c r="G183">
        <f t="shared" si="18"/>
        <v>0</v>
      </c>
      <c r="H183" t="e">
        <f t="shared" si="19"/>
        <v>#NUM!</v>
      </c>
    </row>
    <row r="184" spans="1:8" x14ac:dyDescent="0.2">
      <c r="A184" s="1">
        <v>40444</v>
      </c>
      <c r="B184">
        <v>255.7817039</v>
      </c>
      <c r="C184" s="2">
        <f t="shared" si="17"/>
        <v>-4.8837202293110357E-3</v>
      </c>
      <c r="D184">
        <v>-1.9872410666723759</v>
      </c>
      <c r="E184" s="15">
        <v>0</v>
      </c>
      <c r="F184">
        <f t="shared" si="20"/>
        <v>4.7877988553263424E-2</v>
      </c>
      <c r="G184">
        <f t="shared" si="18"/>
        <v>0</v>
      </c>
      <c r="H184" t="e">
        <f t="shared" si="19"/>
        <v>#NUM!</v>
      </c>
    </row>
    <row r="185" spans="1:8" x14ac:dyDescent="0.2">
      <c r="A185" s="1">
        <v>40445</v>
      </c>
      <c r="B185">
        <v>262.66094229999999</v>
      </c>
      <c r="C185" s="2">
        <f t="shared" si="17"/>
        <v>2.6894958846194437E-2</v>
      </c>
      <c r="D185">
        <v>-6.5070637922247663</v>
      </c>
      <c r="E185" s="15">
        <v>0</v>
      </c>
      <c r="F185">
        <f t="shared" si="20"/>
        <v>7.0707116070447117E-3</v>
      </c>
      <c r="G185">
        <f t="shared" si="18"/>
        <v>0</v>
      </c>
      <c r="H185" t="e">
        <f t="shared" si="19"/>
        <v>#NUM!</v>
      </c>
    </row>
    <row r="186" spans="1:8" x14ac:dyDescent="0.2">
      <c r="A186" s="1">
        <v>40448</v>
      </c>
      <c r="B186">
        <v>264.21511390000001</v>
      </c>
      <c r="C186" s="2">
        <f t="shared" si="17"/>
        <v>5.9170259056822777E-3</v>
      </c>
      <c r="D186">
        <v>-0.77999498197709571</v>
      </c>
      <c r="E186" s="15">
        <v>0</v>
      </c>
      <c r="F186">
        <f t="shared" si="20"/>
        <v>3.5746565308461885E-3</v>
      </c>
      <c r="G186">
        <f t="shared" si="18"/>
        <v>0</v>
      </c>
      <c r="H186" t="e">
        <f t="shared" si="19"/>
        <v>#NUM!</v>
      </c>
    </row>
    <row r="187" spans="1:8" x14ac:dyDescent="0.2">
      <c r="A187" s="1">
        <v>40449</v>
      </c>
      <c r="B187">
        <v>262.60115839999997</v>
      </c>
      <c r="C187" s="2">
        <f t="shared" si="17"/>
        <v>-6.1084904499856905E-3</v>
      </c>
      <c r="D187">
        <v>-2.0323582399934303</v>
      </c>
      <c r="E187" s="15">
        <v>0</v>
      </c>
      <c r="F187">
        <f t="shared" si="20"/>
        <v>3.275141297033313E-3</v>
      </c>
      <c r="G187">
        <f t="shared" si="18"/>
        <v>0</v>
      </c>
      <c r="H187" t="e">
        <f t="shared" si="19"/>
        <v>#NUM!</v>
      </c>
    </row>
    <row r="188" spans="1:8" x14ac:dyDescent="0.2">
      <c r="A188" s="1">
        <v>40450</v>
      </c>
      <c r="B188">
        <v>262.86019199999998</v>
      </c>
      <c r="C188" s="2">
        <f t="shared" si="17"/>
        <v>9.8641453669996194E-4</v>
      </c>
      <c r="D188">
        <v>-1.1614825372612758</v>
      </c>
      <c r="E188" s="15">
        <v>0</v>
      </c>
      <c r="F188">
        <f t="shared" si="20"/>
        <v>3.2494811248304401E-3</v>
      </c>
      <c r="G188">
        <f t="shared" si="18"/>
        <v>0</v>
      </c>
      <c r="H188" t="e">
        <f t="shared" si="19"/>
        <v>#NUM!</v>
      </c>
    </row>
    <row r="189" spans="1:8" x14ac:dyDescent="0.2">
      <c r="A189" s="1">
        <v>40451</v>
      </c>
      <c r="B189">
        <v>261.9137485</v>
      </c>
      <c r="C189" s="2">
        <f t="shared" si="17"/>
        <v>-3.6005585052604188E-3</v>
      </c>
      <c r="D189">
        <v>-4.6501474494749884</v>
      </c>
      <c r="E189" s="15">
        <v>0</v>
      </c>
      <c r="F189">
        <f t="shared" si="20"/>
        <v>3.2472827577253718E-3</v>
      </c>
      <c r="G189">
        <f t="shared" si="18"/>
        <v>0</v>
      </c>
      <c r="H189" t="e">
        <f t="shared" si="19"/>
        <v>#NUM!</v>
      </c>
    </row>
    <row r="190" spans="1:8" x14ac:dyDescent="0.2">
      <c r="A190" s="1">
        <v>40452</v>
      </c>
      <c r="B190">
        <v>261.8290624</v>
      </c>
      <c r="C190" s="2">
        <f t="shared" si="17"/>
        <v>-3.233358328266566E-4</v>
      </c>
      <c r="D190">
        <v>-0.91019842272962304</v>
      </c>
      <c r="E190" s="15">
        <v>1</v>
      </c>
      <c r="F190">
        <f t="shared" si="20"/>
        <v>3.2470944184620791E-3</v>
      </c>
      <c r="G190">
        <f t="shared" si="18"/>
        <v>307.96763848758974</v>
      </c>
      <c r="H190">
        <f t="shared" si="19"/>
        <v>-4.9770101658090322</v>
      </c>
    </row>
    <row r="191" spans="1:8" x14ac:dyDescent="0.2">
      <c r="A191" s="1">
        <v>40455</v>
      </c>
      <c r="B191">
        <v>260.20015289999998</v>
      </c>
      <c r="C191" s="2">
        <f t="shared" si="17"/>
        <v>-6.2212707980885329E-3</v>
      </c>
      <c r="D191">
        <v>18.240894965773297</v>
      </c>
      <c r="E191" s="15">
        <v>0</v>
      </c>
      <c r="F191">
        <f t="shared" si="20"/>
        <v>12314.270896666809</v>
      </c>
      <c r="G191">
        <f t="shared" si="18"/>
        <v>0</v>
      </c>
      <c r="H191" t="e">
        <f t="shared" si="19"/>
        <v>#NUM!</v>
      </c>
    </row>
    <row r="192" spans="1:8" x14ac:dyDescent="0.2">
      <c r="A192" s="1">
        <v>40456</v>
      </c>
      <c r="B192">
        <v>268.11050599999999</v>
      </c>
      <c r="C192" s="2">
        <f t="shared" si="17"/>
        <v>3.0401031712844969E-2</v>
      </c>
      <c r="D192">
        <v>-5.8866272984268093</v>
      </c>
      <c r="E192" s="15">
        <v>0</v>
      </c>
      <c r="F192">
        <f t="shared" si="20"/>
        <v>1054.9954236622207</v>
      </c>
      <c r="G192">
        <f t="shared" si="18"/>
        <v>0</v>
      </c>
      <c r="H192" t="e">
        <f t="shared" si="19"/>
        <v>#NUM!</v>
      </c>
    </row>
    <row r="193" spans="1:8" x14ac:dyDescent="0.2">
      <c r="A193" s="1">
        <v>40457</v>
      </c>
      <c r="B193">
        <v>266.1777634</v>
      </c>
      <c r="C193" s="2">
        <f t="shared" si="17"/>
        <v>-7.2087536920316855E-3</v>
      </c>
      <c r="D193">
        <v>-1.2371220082305912</v>
      </c>
      <c r="E193" s="15">
        <v>1</v>
      </c>
      <c r="F193">
        <f t="shared" si="20"/>
        <v>90.386899952267768</v>
      </c>
      <c r="G193">
        <f t="shared" si="18"/>
        <v>1.1063550144192223E-2</v>
      </c>
      <c r="H193">
        <f t="shared" si="19"/>
        <v>-66745492.231098823</v>
      </c>
    </row>
    <row r="194" spans="1:8" x14ac:dyDescent="0.2">
      <c r="A194" s="1">
        <v>40458</v>
      </c>
      <c r="B194">
        <v>264.01586420000001</v>
      </c>
      <c r="C194" s="2">
        <f t="shared" si="17"/>
        <v>-8.1220127947021197E-3</v>
      </c>
      <c r="D194">
        <v>0.12668751655087346</v>
      </c>
      <c r="E194" s="15">
        <v>0</v>
      </c>
      <c r="F194">
        <f t="shared" si="20"/>
        <v>7.7466423878502102</v>
      </c>
      <c r="G194">
        <f t="shared" si="18"/>
        <v>0</v>
      </c>
      <c r="H194" t="e">
        <f t="shared" si="19"/>
        <v>#NUM!</v>
      </c>
    </row>
    <row r="195" spans="1:8" x14ac:dyDescent="0.2">
      <c r="A195" s="1">
        <v>40459</v>
      </c>
      <c r="B195">
        <v>267.17401169999999</v>
      </c>
      <c r="C195" s="2">
        <f t="shared" si="17"/>
        <v>1.1961961110062659E-2</v>
      </c>
      <c r="D195">
        <v>-2.4727828448959457</v>
      </c>
      <c r="E195" s="15">
        <v>0</v>
      </c>
      <c r="F195">
        <f t="shared" si="20"/>
        <v>0.66664190510008647</v>
      </c>
      <c r="G195">
        <f t="shared" si="18"/>
        <v>0</v>
      </c>
      <c r="H195" t="e">
        <f t="shared" si="19"/>
        <v>#NUM!</v>
      </c>
    </row>
    <row r="196" spans="1:8" x14ac:dyDescent="0.2">
      <c r="A196" s="1">
        <v>40462</v>
      </c>
      <c r="B196">
        <v>268.41437000000002</v>
      </c>
      <c r="C196" s="2">
        <f t="shared" ref="C196:C259" si="21">(B196-B195)/B195</f>
        <v>4.6425110440486209E-3</v>
      </c>
      <c r="D196">
        <v>-0.61189381897060002</v>
      </c>
      <c r="E196" s="15">
        <v>1</v>
      </c>
      <c r="F196">
        <f t="shared" si="20"/>
        <v>6.0081666840911395E-2</v>
      </c>
      <c r="G196">
        <f t="shared" si="18"/>
        <v>16.644012268299292</v>
      </c>
      <c r="H196">
        <f t="shared" si="19"/>
        <v>-2.4425290851832102</v>
      </c>
    </row>
    <row r="197" spans="1:8" x14ac:dyDescent="0.2">
      <c r="A197" s="1">
        <v>40463</v>
      </c>
      <c r="B197">
        <v>269.68460540000001</v>
      </c>
      <c r="C197" s="2">
        <f t="shared" si="21"/>
        <v>4.7323673468003596E-3</v>
      </c>
      <c r="D197">
        <v>1.9355108022183022E-2</v>
      </c>
      <c r="E197" s="15">
        <v>0</v>
      </c>
      <c r="F197">
        <f t="shared" si="20"/>
        <v>35.975966156020782</v>
      </c>
      <c r="G197">
        <f t="shared" si="18"/>
        <v>0</v>
      </c>
      <c r="H197" t="e">
        <f t="shared" si="19"/>
        <v>#NUM!</v>
      </c>
    </row>
    <row r="198" spans="1:8" x14ac:dyDescent="0.2">
      <c r="A198" s="1">
        <v>40464</v>
      </c>
      <c r="B198">
        <v>270.63605360000003</v>
      </c>
      <c r="C198" s="2">
        <f t="shared" si="21"/>
        <v>3.5280033822798836E-3</v>
      </c>
      <c r="D198">
        <v>-0.25449502886431008</v>
      </c>
      <c r="E198" s="15">
        <v>0</v>
      </c>
      <c r="F198">
        <f t="shared" si="20"/>
        <v>3.0851142473598485</v>
      </c>
      <c r="G198">
        <f t="shared" si="18"/>
        <v>0</v>
      </c>
      <c r="H198" t="e">
        <f t="shared" si="19"/>
        <v>#NUM!</v>
      </c>
    </row>
    <row r="199" spans="1:8" x14ac:dyDescent="0.2">
      <c r="A199" s="1">
        <v>40465</v>
      </c>
      <c r="B199">
        <v>269.45547920000001</v>
      </c>
      <c r="C199" s="2">
        <f t="shared" si="21"/>
        <v>-4.3622214568089304E-3</v>
      </c>
      <c r="D199">
        <v>-2.2364561436417767</v>
      </c>
      <c r="E199" s="15">
        <v>0</v>
      </c>
      <c r="F199">
        <f t="shared" si="20"/>
        <v>0.26727786177315965</v>
      </c>
      <c r="G199">
        <f t="shared" si="18"/>
        <v>0</v>
      </c>
      <c r="H199" t="e">
        <f t="shared" si="19"/>
        <v>#NUM!</v>
      </c>
    </row>
    <row r="200" spans="1:8" x14ac:dyDescent="0.2">
      <c r="A200" s="1">
        <v>40466</v>
      </c>
      <c r="B200">
        <v>299.60253410000001</v>
      </c>
      <c r="C200" s="2">
        <f t="shared" si="21"/>
        <v>0.11188139498779211</v>
      </c>
      <c r="D200">
        <v>-26.647802638070566</v>
      </c>
      <c r="E200" s="15">
        <v>0</v>
      </c>
      <c r="F200">
        <f t="shared" si="20"/>
        <v>2.5867213061886472E-2</v>
      </c>
      <c r="G200">
        <f t="shared" ref="G200:G263" si="22">E200/F200</f>
        <v>0</v>
      </c>
      <c r="H200" t="e">
        <f t="shared" ref="H200:H263" si="23">-LOG(G200^2)-(F200^2)/(G200^2)</f>
        <v>#NUM!</v>
      </c>
    </row>
    <row r="201" spans="1:8" x14ac:dyDescent="0.2">
      <c r="A201" s="1">
        <v>40469</v>
      </c>
      <c r="B201">
        <v>307.70218770000002</v>
      </c>
      <c r="C201" s="2">
        <f t="shared" si="21"/>
        <v>2.7034663189118902E-2</v>
      </c>
      <c r="D201">
        <v>-0.75836319173470457</v>
      </c>
      <c r="E201" s="15">
        <v>0</v>
      </c>
      <c r="F201">
        <f t="shared" ref="F201:F264" si="24" xml:space="preserve"> $K$5 + $K$6 * G200 ^ 2 + $K$7 * F200</f>
        <v>5.1849968731478482E-3</v>
      </c>
      <c r="G201">
        <f t="shared" si="22"/>
        <v>0</v>
      </c>
      <c r="H201" t="e">
        <f t="shared" si="23"/>
        <v>#NUM!</v>
      </c>
    </row>
    <row r="202" spans="1:8" x14ac:dyDescent="0.2">
      <c r="A202" s="1">
        <v>40470</v>
      </c>
      <c r="B202">
        <v>302.78063980000002</v>
      </c>
      <c r="C202" s="2">
        <f t="shared" si="21"/>
        <v>-1.5994517090656378E-2</v>
      </c>
      <c r="D202">
        <v>-1.5916299744061158</v>
      </c>
      <c r="E202" s="15">
        <v>0</v>
      </c>
      <c r="F202">
        <f t="shared" si="24"/>
        <v>3.4131029291101294E-3</v>
      </c>
      <c r="G202">
        <f t="shared" si="22"/>
        <v>0</v>
      </c>
      <c r="H202" t="e">
        <f t="shared" si="23"/>
        <v>#NUM!</v>
      </c>
    </row>
    <row r="203" spans="1:8" x14ac:dyDescent="0.2">
      <c r="A203" s="1">
        <v>40471</v>
      </c>
      <c r="B203">
        <v>302.85534730000001</v>
      </c>
      <c r="C203" s="2">
        <f t="shared" si="21"/>
        <v>2.4673803466871515E-4</v>
      </c>
      <c r="D203">
        <v>-1.015426413518471</v>
      </c>
      <c r="E203" s="15">
        <v>1</v>
      </c>
      <c r="F203">
        <f t="shared" si="24"/>
        <v>3.2613006212594336E-3</v>
      </c>
      <c r="G203">
        <f t="shared" si="22"/>
        <v>306.6261335987557</v>
      </c>
      <c r="H203">
        <f t="shared" si="23"/>
        <v>-4.973218333726841</v>
      </c>
    </row>
    <row r="204" spans="1:8" x14ac:dyDescent="0.2">
      <c r="A204" s="1">
        <v>40472</v>
      </c>
      <c r="B204">
        <v>304.85284819999998</v>
      </c>
      <c r="C204" s="2">
        <f t="shared" si="21"/>
        <v>6.5955609428989511E-3</v>
      </c>
      <c r="D204">
        <v>25.731026498425891</v>
      </c>
      <c r="E204" s="15">
        <v>0</v>
      </c>
      <c r="F204">
        <f t="shared" si="24"/>
        <v>12207.222828842967</v>
      </c>
      <c r="G204">
        <f t="shared" si="22"/>
        <v>0</v>
      </c>
      <c r="H204" t="e">
        <f t="shared" si="23"/>
        <v>#NUM!</v>
      </c>
    </row>
    <row r="205" spans="1:8" x14ac:dyDescent="0.2">
      <c r="A205" s="1">
        <v>40473</v>
      </c>
      <c r="B205">
        <v>305.1218609</v>
      </c>
      <c r="C205" s="2">
        <f t="shared" si="21"/>
        <v>8.8243459619420043E-4</v>
      </c>
      <c r="D205">
        <v>-0.86620780190890889</v>
      </c>
      <c r="E205" s="15">
        <v>1</v>
      </c>
      <c r="F205">
        <f t="shared" si="24"/>
        <v>1045.8243647502031</v>
      </c>
      <c r="G205">
        <f t="shared" si="22"/>
        <v>9.5618349859237755E-4</v>
      </c>
      <c r="H205">
        <f t="shared" si="23"/>
        <v>-1196286004163.4663</v>
      </c>
    </row>
    <row r="206" spans="1:8" x14ac:dyDescent="0.2">
      <c r="A206" s="1">
        <v>40476</v>
      </c>
      <c r="B206">
        <v>307.09943390000001</v>
      </c>
      <c r="C206" s="2">
        <f t="shared" si="21"/>
        <v>6.4812563549752743E-3</v>
      </c>
      <c r="D206">
        <v>6.3447441690612525</v>
      </c>
      <c r="E206" s="15">
        <v>0</v>
      </c>
      <c r="F206">
        <f t="shared" si="24"/>
        <v>89.601193955232731</v>
      </c>
      <c r="G206">
        <f t="shared" si="22"/>
        <v>0</v>
      </c>
      <c r="H206" t="e">
        <f t="shared" si="23"/>
        <v>#NUM!</v>
      </c>
    </row>
    <row r="207" spans="1:8" x14ac:dyDescent="0.2">
      <c r="A207" s="1">
        <v>40477</v>
      </c>
      <c r="B207">
        <v>308.14551749999998</v>
      </c>
      <c r="C207" s="2">
        <f t="shared" si="21"/>
        <v>3.406335162247834E-3</v>
      </c>
      <c r="D207">
        <v>-0.47443289145120859</v>
      </c>
      <c r="E207" s="15">
        <v>0</v>
      </c>
      <c r="F207">
        <f t="shared" si="24"/>
        <v>7.6793132209110366</v>
      </c>
      <c r="G207">
        <f t="shared" si="22"/>
        <v>0</v>
      </c>
      <c r="H207" t="e">
        <f t="shared" si="23"/>
        <v>#NUM!</v>
      </c>
    </row>
    <row r="208" spans="1:8" x14ac:dyDescent="0.2">
      <c r="A208" s="1">
        <v>40478</v>
      </c>
      <c r="B208">
        <v>307.0845109</v>
      </c>
      <c r="C208" s="2">
        <f t="shared" si="21"/>
        <v>-3.4431998511871417E-3</v>
      </c>
      <c r="D208">
        <v>-2.0108223903941913</v>
      </c>
      <c r="E208" s="15">
        <v>0</v>
      </c>
      <c r="F208">
        <f t="shared" si="24"/>
        <v>0.6608736575357087</v>
      </c>
      <c r="G208">
        <f t="shared" si="22"/>
        <v>0</v>
      </c>
      <c r="H208" t="e">
        <f t="shared" si="23"/>
        <v>#NUM!</v>
      </c>
    </row>
    <row r="209" spans="1:8" x14ac:dyDescent="0.2">
      <c r="A209" s="1">
        <v>40479</v>
      </c>
      <c r="B209">
        <v>308.13556870000002</v>
      </c>
      <c r="C209" s="2">
        <f t="shared" si="21"/>
        <v>3.4226988424769286E-3</v>
      </c>
      <c r="D209">
        <v>-1.9940459428449542</v>
      </c>
      <c r="E209" s="15">
        <v>0</v>
      </c>
      <c r="F209">
        <f t="shared" si="24"/>
        <v>5.9587487550173859E-2</v>
      </c>
      <c r="G209">
        <f t="shared" si="22"/>
        <v>0</v>
      </c>
      <c r="H209" t="e">
        <f t="shared" si="23"/>
        <v>#NUM!</v>
      </c>
    </row>
    <row r="210" spans="1:8" x14ac:dyDescent="0.2">
      <c r="A210" s="1">
        <v>40480</v>
      </c>
      <c r="B210">
        <v>305.70465639999998</v>
      </c>
      <c r="C210" s="2">
        <f t="shared" si="21"/>
        <v>-7.8890999512191175E-3</v>
      </c>
      <c r="D210">
        <v>-3.3049354659289736</v>
      </c>
      <c r="E210" s="15">
        <v>0</v>
      </c>
      <c r="F210">
        <f t="shared" si="24"/>
        <v>8.073891835459427E-3</v>
      </c>
      <c r="G210">
        <f t="shared" si="22"/>
        <v>0</v>
      </c>
      <c r="H210" t="e">
        <f t="shared" si="23"/>
        <v>#NUM!</v>
      </c>
    </row>
    <row r="211" spans="1:8" x14ac:dyDescent="0.2">
      <c r="A211" s="1">
        <v>40483</v>
      </c>
      <c r="B211">
        <v>306.35224060000002</v>
      </c>
      <c r="C211" s="2">
        <f t="shared" si="21"/>
        <v>2.118332797498206E-3</v>
      </c>
      <c r="D211">
        <v>-1.268513874915586</v>
      </c>
      <c r="E211" s="15">
        <v>0</v>
      </c>
      <c r="F211">
        <f t="shared" si="24"/>
        <v>3.6606013326645867E-3</v>
      </c>
      <c r="G211">
        <f t="shared" si="22"/>
        <v>0</v>
      </c>
      <c r="H211" t="e">
        <f t="shared" si="23"/>
        <v>#NUM!</v>
      </c>
    </row>
    <row r="212" spans="1:8" x14ac:dyDescent="0.2">
      <c r="A212" s="1">
        <v>40484</v>
      </c>
      <c r="B212">
        <v>306.65113029999998</v>
      </c>
      <c r="C212" s="2">
        <f t="shared" si="21"/>
        <v>9.7564065278117975E-4</v>
      </c>
      <c r="D212">
        <v>-0.53942994512787079</v>
      </c>
      <c r="E212" s="15">
        <v>1</v>
      </c>
      <c r="F212">
        <f t="shared" si="24"/>
        <v>3.2825043896764728E-3</v>
      </c>
      <c r="G212">
        <f t="shared" si="22"/>
        <v>304.64544179895557</v>
      </c>
      <c r="H212">
        <f t="shared" si="23"/>
        <v>-4.9675893690326705</v>
      </c>
    </row>
    <row r="213" spans="1:8" x14ac:dyDescent="0.2">
      <c r="A213" s="1">
        <v>40485</v>
      </c>
      <c r="B213">
        <v>308.93256689999998</v>
      </c>
      <c r="C213" s="2">
        <f t="shared" si="21"/>
        <v>7.43984409177965E-3</v>
      </c>
      <c r="D213">
        <v>6.6255986982209993</v>
      </c>
      <c r="E213" s="15">
        <v>0</v>
      </c>
      <c r="F213">
        <f t="shared" si="24"/>
        <v>12050.023921580498</v>
      </c>
      <c r="G213">
        <f t="shared" si="22"/>
        <v>0</v>
      </c>
      <c r="H213" t="e">
        <f t="shared" si="23"/>
        <v>#NUM!</v>
      </c>
    </row>
    <row r="214" spans="1:8" x14ac:dyDescent="0.2">
      <c r="A214" s="1">
        <v>40486</v>
      </c>
      <c r="B214">
        <v>310.96995479999998</v>
      </c>
      <c r="C214" s="2">
        <f t="shared" si="21"/>
        <v>6.5949275611965237E-3</v>
      </c>
      <c r="D214">
        <v>-0.11356642964019664</v>
      </c>
      <c r="E214" s="15">
        <v>0</v>
      </c>
      <c r="F214">
        <f t="shared" si="24"/>
        <v>1032.3567658601296</v>
      </c>
      <c r="G214">
        <f t="shared" si="22"/>
        <v>0</v>
      </c>
      <c r="H214" t="e">
        <f t="shared" si="23"/>
        <v>#NUM!</v>
      </c>
    </row>
    <row r="215" spans="1:8" x14ac:dyDescent="0.2">
      <c r="A215" s="1">
        <v>40487</v>
      </c>
      <c r="B215">
        <v>311.37342799999999</v>
      </c>
      <c r="C215" s="2">
        <f t="shared" si="21"/>
        <v>1.297466825242011E-3</v>
      </c>
      <c r="D215">
        <v>-0.80326291483835333</v>
      </c>
      <c r="E215" s="15">
        <v>1</v>
      </c>
      <c r="F215">
        <f t="shared" si="24"/>
        <v>88.447393068933437</v>
      </c>
      <c r="G215">
        <f t="shared" si="22"/>
        <v>1.1306155730566619E-2</v>
      </c>
      <c r="H215">
        <f t="shared" si="23"/>
        <v>-61198407.326513045</v>
      </c>
    </row>
    <row r="216" spans="1:8" x14ac:dyDescent="0.2">
      <c r="A216" s="1">
        <v>40490</v>
      </c>
      <c r="B216">
        <v>312.21528749999999</v>
      </c>
      <c r="C216" s="2">
        <f t="shared" si="21"/>
        <v>2.7036973109985422E-3</v>
      </c>
      <c r="D216">
        <v>1.0838277005612325</v>
      </c>
      <c r="E216" s="15">
        <v>0</v>
      </c>
      <c r="F216">
        <f t="shared" si="24"/>
        <v>7.5804809911999005</v>
      </c>
      <c r="G216">
        <f t="shared" si="22"/>
        <v>0</v>
      </c>
      <c r="H216" t="e">
        <f t="shared" si="23"/>
        <v>#NUM!</v>
      </c>
    </row>
    <row r="217" spans="1:8" x14ac:dyDescent="0.2">
      <c r="A217" s="1">
        <v>40491</v>
      </c>
      <c r="B217">
        <v>311.2439114</v>
      </c>
      <c r="C217" s="2">
        <f t="shared" si="21"/>
        <v>-3.1112381068143127E-3</v>
      </c>
      <c r="D217">
        <v>-2.1507346233463003</v>
      </c>
      <c r="E217" s="15">
        <v>0</v>
      </c>
      <c r="F217">
        <f t="shared" si="24"/>
        <v>0.65240646873433361</v>
      </c>
      <c r="G217">
        <f t="shared" si="22"/>
        <v>0</v>
      </c>
      <c r="H217" t="e">
        <f t="shared" si="23"/>
        <v>#NUM!</v>
      </c>
    </row>
    <row r="218" spans="1:8" x14ac:dyDescent="0.2">
      <c r="A218" s="1">
        <v>40492</v>
      </c>
      <c r="B218">
        <v>310.27754010000001</v>
      </c>
      <c r="C218" s="2">
        <f t="shared" si="21"/>
        <v>-3.1048681262652697E-3</v>
      </c>
      <c r="D218">
        <v>-2.0474101725262693E-3</v>
      </c>
      <c r="E218" s="15">
        <v>1</v>
      </c>
      <c r="F218">
        <f t="shared" si="24"/>
        <v>5.8862083636818115E-2</v>
      </c>
      <c r="G218">
        <f t="shared" si="22"/>
        <v>16.988865126998359</v>
      </c>
      <c r="H218">
        <f t="shared" si="23"/>
        <v>-2.4603407415308562</v>
      </c>
    </row>
    <row r="219" spans="1:8" x14ac:dyDescent="0.2">
      <c r="A219" s="1">
        <v>40493</v>
      </c>
      <c r="B219">
        <v>307.44315410000002</v>
      </c>
      <c r="C219" s="2">
        <f t="shared" si="21"/>
        <v>-9.13500216318105E-3</v>
      </c>
      <c r="D219">
        <v>1.9421546396462268</v>
      </c>
      <c r="E219" s="15">
        <v>1</v>
      </c>
      <c r="F219">
        <f t="shared" si="24"/>
        <v>37.481762171896342</v>
      </c>
      <c r="G219">
        <f t="shared" si="22"/>
        <v>2.667964209937268E-2</v>
      </c>
      <c r="H219">
        <f t="shared" si="23"/>
        <v>-1973691.6785520886</v>
      </c>
    </row>
    <row r="220" spans="1:8" x14ac:dyDescent="0.2">
      <c r="A220" s="1">
        <v>40494</v>
      </c>
      <c r="B220">
        <v>300.5191006</v>
      </c>
      <c r="C220" s="2">
        <f t="shared" si="21"/>
        <v>-2.2521410568627828E-2</v>
      </c>
      <c r="D220">
        <v>1.4653973985251116</v>
      </c>
      <c r="E220" s="15">
        <v>0</v>
      </c>
      <c r="F220">
        <f t="shared" si="24"/>
        <v>3.2142117403143824</v>
      </c>
      <c r="G220">
        <f t="shared" si="22"/>
        <v>0</v>
      </c>
      <c r="H220" t="e">
        <f t="shared" si="23"/>
        <v>#NUM!</v>
      </c>
    </row>
    <row r="221" spans="1:8" x14ac:dyDescent="0.2">
      <c r="A221" s="1">
        <v>40497</v>
      </c>
      <c r="B221">
        <v>296.62367760000001</v>
      </c>
      <c r="C221" s="2">
        <f t="shared" si="21"/>
        <v>-1.2962314183100527E-2</v>
      </c>
      <c r="D221">
        <v>-0.4244448346784751</v>
      </c>
      <c r="E221" s="15">
        <v>1</v>
      </c>
      <c r="F221">
        <f t="shared" si="24"/>
        <v>0.27833794662427647</v>
      </c>
      <c r="G221">
        <f t="shared" si="22"/>
        <v>3.5927548224313179</v>
      </c>
      <c r="H221">
        <f t="shared" si="23"/>
        <v>-1.1168570747172748</v>
      </c>
    </row>
    <row r="222" spans="1:8" x14ac:dyDescent="0.2">
      <c r="A222" s="1">
        <v>40498</v>
      </c>
      <c r="B222">
        <v>290.77060990000001</v>
      </c>
      <c r="C222" s="2">
        <f t="shared" si="21"/>
        <v>-1.9732301033273943E-2</v>
      </c>
      <c r="D222">
        <v>0.52228226800733712</v>
      </c>
      <c r="E222" s="15">
        <v>0</v>
      </c>
      <c r="F222">
        <f t="shared" si="24"/>
        <v>1.7027359189815847</v>
      </c>
      <c r="G222">
        <f t="shared" si="22"/>
        <v>0</v>
      </c>
      <c r="H222" t="e">
        <f t="shared" si="23"/>
        <v>#NUM!</v>
      </c>
    </row>
    <row r="223" spans="1:8" x14ac:dyDescent="0.2">
      <c r="A223" s="1">
        <v>40499</v>
      </c>
      <c r="B223">
        <v>290.68592330000001</v>
      </c>
      <c r="C223" s="2">
        <f t="shared" si="21"/>
        <v>-2.9124883023467401E-4</v>
      </c>
      <c r="D223">
        <v>-0.98523999660538575</v>
      </c>
      <c r="E223" s="15">
        <v>0</v>
      </c>
      <c r="F223">
        <f t="shared" si="24"/>
        <v>0.14884626981658139</v>
      </c>
      <c r="G223">
        <f t="shared" si="22"/>
        <v>0</v>
      </c>
      <c r="H223" t="e">
        <f t="shared" si="23"/>
        <v>#NUM!</v>
      </c>
    </row>
    <row r="224" spans="1:8" x14ac:dyDescent="0.2">
      <c r="A224" s="1">
        <v>40500</v>
      </c>
      <c r="B224">
        <v>297.16664750000001</v>
      </c>
      <c r="C224" s="2">
        <f t="shared" si="21"/>
        <v>2.2294592481217672E-2</v>
      </c>
      <c r="D224">
        <v>-77.548264462568952</v>
      </c>
      <c r="E224" s="15">
        <v>0</v>
      </c>
      <c r="F224">
        <f t="shared" si="24"/>
        <v>1.5720900952216687E-2</v>
      </c>
      <c r="G224">
        <f t="shared" si="22"/>
        <v>0</v>
      </c>
      <c r="H224" t="e">
        <f t="shared" si="23"/>
        <v>#NUM!</v>
      </c>
    </row>
    <row r="225" spans="1:8" x14ac:dyDescent="0.2">
      <c r="A225" s="1">
        <v>40501</v>
      </c>
      <c r="B225">
        <v>294.312364</v>
      </c>
      <c r="C225" s="2">
        <f t="shared" si="21"/>
        <v>-9.6049927675682656E-3</v>
      </c>
      <c r="D225">
        <v>-1.4308216342442723</v>
      </c>
      <c r="E225" s="15">
        <v>0</v>
      </c>
      <c r="F225">
        <f t="shared" si="24"/>
        <v>4.3157385297779771E-3</v>
      </c>
      <c r="G225">
        <f t="shared" si="22"/>
        <v>0</v>
      </c>
      <c r="H225" t="e">
        <f t="shared" si="23"/>
        <v>#NUM!</v>
      </c>
    </row>
    <row r="226" spans="1:8" x14ac:dyDescent="0.2">
      <c r="A226" s="1">
        <v>40504</v>
      </c>
      <c r="B226">
        <v>294.5066084</v>
      </c>
      <c r="C226" s="2">
        <f t="shared" si="21"/>
        <v>6.5999401914355969E-4</v>
      </c>
      <c r="D226">
        <v>-1.068713640407108</v>
      </c>
      <c r="E226" s="15">
        <v>0</v>
      </c>
      <c r="F226">
        <f t="shared" si="24"/>
        <v>3.3386315291225408E-3</v>
      </c>
      <c r="G226">
        <f t="shared" si="22"/>
        <v>0</v>
      </c>
      <c r="H226" t="e">
        <f t="shared" si="23"/>
        <v>#NUM!</v>
      </c>
    </row>
    <row r="227" spans="1:8" x14ac:dyDescent="0.2">
      <c r="A227" s="1">
        <v>40505</v>
      </c>
      <c r="B227">
        <v>290.41694100000001</v>
      </c>
      <c r="C227" s="2">
        <f t="shared" si="21"/>
        <v>-1.3886504694133703E-2</v>
      </c>
      <c r="D227">
        <v>-22.040349293094362</v>
      </c>
      <c r="E227" s="15">
        <v>0</v>
      </c>
      <c r="F227">
        <f t="shared" si="24"/>
        <v>3.2549204818470108E-3</v>
      </c>
      <c r="G227">
        <f t="shared" si="22"/>
        <v>0</v>
      </c>
      <c r="H227" t="e">
        <f t="shared" si="23"/>
        <v>#NUM!</v>
      </c>
    </row>
    <row r="228" spans="1:8" x14ac:dyDescent="0.2">
      <c r="A228" s="1">
        <v>40506</v>
      </c>
      <c r="B228">
        <v>296.37462319999997</v>
      </c>
      <c r="C228" s="2">
        <f t="shared" si="21"/>
        <v>2.0514237838487409E-2</v>
      </c>
      <c r="D228">
        <v>-2.4772787170232666</v>
      </c>
      <c r="E228" s="15">
        <v>0</v>
      </c>
      <c r="F228">
        <f t="shared" si="24"/>
        <v>3.2477487601918951E-3</v>
      </c>
      <c r="G228">
        <f t="shared" si="22"/>
        <v>0</v>
      </c>
      <c r="H228" t="e">
        <f t="shared" si="23"/>
        <v>#NUM!</v>
      </c>
    </row>
    <row r="229" spans="1:8" x14ac:dyDescent="0.2">
      <c r="A229" s="1">
        <v>40508</v>
      </c>
      <c r="B229">
        <v>293.89891069999999</v>
      </c>
      <c r="C229" s="2">
        <f t="shared" si="21"/>
        <v>-8.3533214594061992E-3</v>
      </c>
      <c r="D229">
        <v>-1.4071962860708511</v>
      </c>
      <c r="E229" s="15">
        <v>1</v>
      </c>
      <c r="F229">
        <f t="shared" si="24"/>
        <v>3.247134341985787E-3</v>
      </c>
      <c r="G229">
        <f t="shared" si="22"/>
        <v>307.96385202481315</v>
      </c>
      <c r="H229">
        <f t="shared" si="23"/>
        <v>-4.976999486440211</v>
      </c>
    </row>
    <row r="230" spans="1:8" x14ac:dyDescent="0.2">
      <c r="A230" s="1">
        <v>40511</v>
      </c>
      <c r="B230">
        <v>289.96863689999998</v>
      </c>
      <c r="C230" s="2">
        <f t="shared" si="21"/>
        <v>-1.33728763765711E-2</v>
      </c>
      <c r="D230">
        <v>0.60090527361576218</v>
      </c>
      <c r="E230" s="15">
        <v>1</v>
      </c>
      <c r="F230">
        <f t="shared" si="24"/>
        <v>12313.968090637345</v>
      </c>
      <c r="G230">
        <f t="shared" si="22"/>
        <v>8.120859114133388E-5</v>
      </c>
      <c r="H230">
        <f t="shared" si="23"/>
        <v>-2.2992812376734948E+16</v>
      </c>
    </row>
    <row r="231" spans="1:8" x14ac:dyDescent="0.2">
      <c r="A231" s="1">
        <v>40512</v>
      </c>
      <c r="B231">
        <v>276.8178881</v>
      </c>
      <c r="C231" s="2">
        <f t="shared" si="21"/>
        <v>-4.5352314445424681E-2</v>
      </c>
      <c r="D231">
        <v>2.3913657143261005</v>
      </c>
      <c r="E231" s="15">
        <v>0</v>
      </c>
      <c r="F231">
        <f t="shared" si="24"/>
        <v>1054.9694815606961</v>
      </c>
      <c r="G231">
        <f t="shared" si="22"/>
        <v>0</v>
      </c>
      <c r="H231" t="e">
        <f t="shared" si="23"/>
        <v>#NUM!</v>
      </c>
    </row>
    <row r="232" spans="1:8" x14ac:dyDescent="0.2">
      <c r="A232" s="1">
        <v>40513</v>
      </c>
      <c r="B232">
        <v>281.12175910000002</v>
      </c>
      <c r="C232" s="2">
        <f t="shared" si="21"/>
        <v>1.5547662145465284E-2</v>
      </c>
      <c r="D232">
        <v>-1.3428195966531051</v>
      </c>
      <c r="E232" s="15">
        <v>0</v>
      </c>
      <c r="F232">
        <f t="shared" si="24"/>
        <v>90.384677431616808</v>
      </c>
      <c r="G232">
        <f t="shared" si="22"/>
        <v>0</v>
      </c>
      <c r="H232" t="e">
        <f t="shared" si="23"/>
        <v>#NUM!</v>
      </c>
    </row>
    <row r="233" spans="1:8" x14ac:dyDescent="0.2">
      <c r="A233" s="1">
        <v>40514</v>
      </c>
      <c r="B233">
        <v>284.8428346</v>
      </c>
      <c r="C233" s="2">
        <f t="shared" si="21"/>
        <v>1.3236526094290449E-2</v>
      </c>
      <c r="D233">
        <v>-0.1486484610709729</v>
      </c>
      <c r="E233" s="15">
        <v>0</v>
      </c>
      <c r="F233">
        <f t="shared" si="24"/>
        <v>7.7464360869709354</v>
      </c>
      <c r="G233">
        <f t="shared" si="22"/>
        <v>0</v>
      </c>
      <c r="H233" t="e">
        <f t="shared" si="23"/>
        <v>#NUM!</v>
      </c>
    </row>
    <row r="234" spans="1:8" x14ac:dyDescent="0.2">
      <c r="A234" s="1">
        <v>40515</v>
      </c>
      <c r="B234">
        <v>285.43063489999997</v>
      </c>
      <c r="C234" s="2">
        <f t="shared" si="21"/>
        <v>2.0635951781107905E-3</v>
      </c>
      <c r="D234">
        <v>-0.84409843161183218</v>
      </c>
      <c r="E234" s="15">
        <v>1</v>
      </c>
      <c r="F234">
        <f t="shared" si="24"/>
        <v>0.66662423082014954</v>
      </c>
      <c r="G234">
        <f t="shared" si="22"/>
        <v>1.5000954867327541</v>
      </c>
      <c r="H234">
        <f t="shared" si="23"/>
        <v>-0.54971838349589475</v>
      </c>
    </row>
    <row r="235" spans="1:8" x14ac:dyDescent="0.2">
      <c r="A235" s="1">
        <v>40518</v>
      </c>
      <c r="B235">
        <v>288.10062210000001</v>
      </c>
      <c r="C235" s="2">
        <f t="shared" si="21"/>
        <v>9.354241884146252E-3</v>
      </c>
      <c r="D235">
        <v>3.5329830110913547</v>
      </c>
      <c r="E235" s="15">
        <v>1</v>
      </c>
      <c r="F235">
        <f t="shared" si="24"/>
        <v>0.35225056389033177</v>
      </c>
      <c r="G235">
        <f t="shared" si="22"/>
        <v>2.8388882872344694</v>
      </c>
      <c r="H235">
        <f t="shared" si="23"/>
        <v>-0.92169256647458886</v>
      </c>
    </row>
    <row r="236" spans="1:8" x14ac:dyDescent="0.2">
      <c r="A236" s="1">
        <v>40519</v>
      </c>
      <c r="B236">
        <v>292.4742258</v>
      </c>
      <c r="C236" s="2">
        <f t="shared" si="21"/>
        <v>1.5180820048635326E-2</v>
      </c>
      <c r="D236">
        <v>0.62288085305598839</v>
      </c>
      <c r="E236" s="15">
        <v>0</v>
      </c>
      <c r="F236">
        <f t="shared" si="24"/>
        <v>1.0795405134340494</v>
      </c>
      <c r="G236">
        <f t="shared" si="22"/>
        <v>0</v>
      </c>
      <c r="H236" t="e">
        <f t="shared" si="23"/>
        <v>#NUM!</v>
      </c>
    </row>
    <row r="237" spans="1:8" x14ac:dyDescent="0.2">
      <c r="A237" s="1">
        <v>40520</v>
      </c>
      <c r="B237">
        <v>294.16789349999999</v>
      </c>
      <c r="C237" s="2">
        <f t="shared" si="21"/>
        <v>5.7908271929512081E-3</v>
      </c>
      <c r="D237">
        <v>-0.61854318973553923</v>
      </c>
      <c r="E237" s="15">
        <v>0</v>
      </c>
      <c r="F237">
        <f t="shared" si="24"/>
        <v>9.5455658531749185E-2</v>
      </c>
      <c r="G237">
        <f t="shared" si="22"/>
        <v>0</v>
      </c>
      <c r="H237" t="e">
        <f t="shared" si="23"/>
        <v>#NUM!</v>
      </c>
    </row>
    <row r="238" spans="1:8" x14ac:dyDescent="0.2">
      <c r="A238" s="1">
        <v>40521</v>
      </c>
      <c r="B238">
        <v>294.6461046</v>
      </c>
      <c r="C238" s="2">
        <f t="shared" si="21"/>
        <v>1.6256400190730197E-3</v>
      </c>
      <c r="D238">
        <v>-0.71927326357591814</v>
      </c>
      <c r="E238" s="15">
        <v>0</v>
      </c>
      <c r="F238">
        <f t="shared" si="24"/>
        <v>1.1146802125439276E-2</v>
      </c>
      <c r="G238">
        <f t="shared" si="22"/>
        <v>0</v>
      </c>
      <c r="H238" t="e">
        <f t="shared" si="23"/>
        <v>#NUM!</v>
      </c>
    </row>
    <row r="239" spans="1:8" x14ac:dyDescent="0.2">
      <c r="A239" s="1">
        <v>40522</v>
      </c>
      <c r="B239">
        <v>294.99977339999998</v>
      </c>
      <c r="C239" s="2">
        <f t="shared" si="21"/>
        <v>1.2003172432233809E-3</v>
      </c>
      <c r="D239">
        <v>-0.26163404619687475</v>
      </c>
      <c r="E239" s="15">
        <v>1</v>
      </c>
      <c r="F239">
        <f t="shared" si="24"/>
        <v>3.9238647607082022E-3</v>
      </c>
      <c r="G239">
        <f t="shared" si="22"/>
        <v>254.85078130458149</v>
      </c>
      <c r="H239">
        <f t="shared" si="23"/>
        <v>-4.8125719389528916</v>
      </c>
    </row>
    <row r="240" spans="1:8" x14ac:dyDescent="0.2">
      <c r="A240" s="1">
        <v>40525</v>
      </c>
      <c r="B240">
        <v>296.2002761</v>
      </c>
      <c r="C240" s="2">
        <f t="shared" si="21"/>
        <v>4.069503803896873E-3</v>
      </c>
      <c r="D240">
        <v>2.3903568634642469</v>
      </c>
      <c r="E240" s="15">
        <v>0</v>
      </c>
      <c r="F240">
        <f t="shared" si="24"/>
        <v>8432.7753715937561</v>
      </c>
      <c r="G240">
        <f t="shared" si="22"/>
        <v>0</v>
      </c>
      <c r="H240" t="e">
        <f t="shared" si="23"/>
        <v>#NUM!</v>
      </c>
    </row>
    <row r="241" spans="1:8" x14ac:dyDescent="0.2">
      <c r="A241" s="1">
        <v>40526</v>
      </c>
      <c r="B241">
        <v>296.34474660000001</v>
      </c>
      <c r="C241" s="2">
        <f t="shared" si="21"/>
        <v>4.8774600045017066E-4</v>
      </c>
      <c r="D241">
        <v>-0.88014607579845117</v>
      </c>
      <c r="E241" s="15">
        <v>0</v>
      </c>
      <c r="F241">
        <f t="shared" si="24"/>
        <v>722.45860304667792</v>
      </c>
      <c r="G241">
        <f t="shared" si="22"/>
        <v>0</v>
      </c>
      <c r="H241" t="e">
        <f t="shared" si="23"/>
        <v>#NUM!</v>
      </c>
    </row>
    <row r="242" spans="1:8" x14ac:dyDescent="0.2">
      <c r="A242" s="1">
        <v>40527</v>
      </c>
      <c r="B242">
        <v>294.04835559999998</v>
      </c>
      <c r="C242" s="2">
        <f t="shared" si="21"/>
        <v>-7.7490525016785574E-3</v>
      </c>
      <c r="D242">
        <v>-16.887475232039794</v>
      </c>
      <c r="E242" s="15">
        <v>0</v>
      </c>
      <c r="F242">
        <f t="shared" si="24"/>
        <v>61.897690998970731</v>
      </c>
      <c r="G242">
        <f t="shared" si="22"/>
        <v>0</v>
      </c>
      <c r="H242" t="e">
        <f t="shared" si="23"/>
        <v>#NUM!</v>
      </c>
    </row>
    <row r="243" spans="1:8" x14ac:dyDescent="0.2">
      <c r="A243" s="1">
        <v>40528</v>
      </c>
      <c r="B243">
        <v>294.75071889999998</v>
      </c>
      <c r="C243" s="2">
        <f t="shared" si="21"/>
        <v>2.3885979520845918E-3</v>
      </c>
      <c r="D243">
        <v>-1.3082438725982546</v>
      </c>
      <c r="E243" s="15">
        <v>0</v>
      </c>
      <c r="F243">
        <f t="shared" si="24"/>
        <v>5.3058891802340185</v>
      </c>
      <c r="G243">
        <f t="shared" si="22"/>
        <v>0</v>
      </c>
      <c r="H243" t="e">
        <f t="shared" si="23"/>
        <v>#NUM!</v>
      </c>
    </row>
    <row r="244" spans="1:8" x14ac:dyDescent="0.2">
      <c r="A244" s="1">
        <v>40529</v>
      </c>
      <c r="B244">
        <v>294.29741009999998</v>
      </c>
      <c r="C244" s="2">
        <f t="shared" si="21"/>
        <v>-1.5379395907556583E-3</v>
      </c>
      <c r="D244">
        <v>-1.6438670808594884</v>
      </c>
      <c r="E244" s="15">
        <v>0</v>
      </c>
      <c r="F244">
        <f t="shared" si="24"/>
        <v>0.45753685620205897</v>
      </c>
      <c r="G244">
        <f t="shared" si="22"/>
        <v>0</v>
      </c>
      <c r="H244" t="e">
        <f t="shared" si="23"/>
        <v>#NUM!</v>
      </c>
    </row>
    <row r="245" spans="1:8" x14ac:dyDescent="0.2">
      <c r="A245" s="1">
        <v>40532</v>
      </c>
      <c r="B245">
        <v>296.4194536</v>
      </c>
      <c r="C245" s="2">
        <f t="shared" si="21"/>
        <v>7.2105408582391669E-3</v>
      </c>
      <c r="D245">
        <v>-5.6884421869238091</v>
      </c>
      <c r="E245" s="15">
        <v>1</v>
      </c>
      <c r="F245">
        <f t="shared" si="24"/>
        <v>4.216714711880018E-2</v>
      </c>
      <c r="G245">
        <f t="shared" si="22"/>
        <v>23.71514480651576</v>
      </c>
      <c r="H245">
        <f t="shared" si="23"/>
        <v>-2.7500547231905008</v>
      </c>
    </row>
    <row r="246" spans="1:8" x14ac:dyDescent="0.2">
      <c r="A246" s="1">
        <v>40533</v>
      </c>
      <c r="B246">
        <v>300.40951189999998</v>
      </c>
      <c r="C246" s="2">
        <f t="shared" si="21"/>
        <v>1.3460851680080106E-2</v>
      </c>
      <c r="D246">
        <v>0.86682967959317292</v>
      </c>
      <c r="E246" s="15">
        <v>0</v>
      </c>
      <c r="F246">
        <f t="shared" si="24"/>
        <v>73.027952781326988</v>
      </c>
      <c r="G246">
        <f t="shared" si="22"/>
        <v>0</v>
      </c>
      <c r="H246" t="e">
        <f t="shared" si="23"/>
        <v>#NUM!</v>
      </c>
    </row>
    <row r="247" spans="1:8" x14ac:dyDescent="0.2">
      <c r="A247" s="1">
        <v>40534</v>
      </c>
      <c r="B247">
        <v>301.61498849999998</v>
      </c>
      <c r="C247" s="2">
        <f t="shared" si="21"/>
        <v>4.0127777325548704E-3</v>
      </c>
      <c r="D247">
        <v>-0.70189273101544269</v>
      </c>
      <c r="E247" s="15">
        <v>0</v>
      </c>
      <c r="F247">
        <f t="shared" si="24"/>
        <v>6.2594447986328756</v>
      </c>
      <c r="G247">
        <f t="shared" si="22"/>
        <v>0</v>
      </c>
      <c r="H247" t="e">
        <f t="shared" si="23"/>
        <v>#NUM!</v>
      </c>
    </row>
    <row r="248" spans="1:8" x14ac:dyDescent="0.2">
      <c r="A248" s="1">
        <v>40535</v>
      </c>
      <c r="B248">
        <v>300.9873326</v>
      </c>
      <c r="C248" s="2">
        <f t="shared" si="21"/>
        <v>-2.0809837837352015E-3</v>
      </c>
      <c r="D248">
        <v>-1.5185893469385539</v>
      </c>
      <c r="E248" s="15">
        <v>1</v>
      </c>
      <c r="F248">
        <f t="shared" si="24"/>
        <v>0.53923020135063426</v>
      </c>
      <c r="G248">
        <f t="shared" si="22"/>
        <v>1.8544955336241458</v>
      </c>
      <c r="H248">
        <f t="shared" si="23"/>
        <v>-0.62099831693030305</v>
      </c>
    </row>
    <row r="249" spans="1:8" x14ac:dyDescent="0.2">
      <c r="A249" s="1">
        <v>40539</v>
      </c>
      <c r="B249">
        <v>300.06579169999998</v>
      </c>
      <c r="C249" s="2">
        <f t="shared" si="21"/>
        <v>-3.0617265252977127E-3</v>
      </c>
      <c r="D249">
        <v>0.47128802695528721</v>
      </c>
      <c r="E249" s="15">
        <v>1</v>
      </c>
      <c r="F249">
        <f t="shared" si="24"/>
        <v>0.49569535386069796</v>
      </c>
      <c r="G249">
        <f t="shared" si="22"/>
        <v>2.0173681117072233</v>
      </c>
      <c r="H249">
        <f t="shared" si="23"/>
        <v>-0.66994561612397152</v>
      </c>
    </row>
    <row r="250" spans="1:8" x14ac:dyDescent="0.2">
      <c r="A250" s="1">
        <v>40540</v>
      </c>
      <c r="B250">
        <v>298.34224749999998</v>
      </c>
      <c r="C250" s="2">
        <f t="shared" si="21"/>
        <v>-5.7438876662194091E-3</v>
      </c>
      <c r="D250">
        <v>0.87602897213718045</v>
      </c>
      <c r="E250" s="15">
        <v>0</v>
      </c>
      <c r="F250">
        <f t="shared" si="24"/>
        <v>0.5738434748341753</v>
      </c>
      <c r="G250">
        <f t="shared" si="22"/>
        <v>0</v>
      </c>
      <c r="H250" t="e">
        <f t="shared" si="23"/>
        <v>#NUM!</v>
      </c>
    </row>
    <row r="251" spans="1:8" x14ac:dyDescent="0.2">
      <c r="A251" s="1">
        <v>40541</v>
      </c>
      <c r="B251">
        <v>299.3783818</v>
      </c>
      <c r="C251" s="2">
        <f t="shared" si="21"/>
        <v>3.4729720939037129E-3</v>
      </c>
      <c r="D251">
        <v>-1.6046378856482062</v>
      </c>
      <c r="E251" s="15">
        <v>0</v>
      </c>
      <c r="F251">
        <f t="shared" si="24"/>
        <v>5.2131407782411397E-2</v>
      </c>
      <c r="G251">
        <f t="shared" si="22"/>
        <v>0</v>
      </c>
      <c r="H251" t="e">
        <f t="shared" si="23"/>
        <v>#NUM!</v>
      </c>
    </row>
    <row r="252" spans="1:8" x14ac:dyDescent="0.2">
      <c r="A252" s="1">
        <v>40542</v>
      </c>
      <c r="B252">
        <v>298.31237049999999</v>
      </c>
      <c r="C252" s="2">
        <f t="shared" si="21"/>
        <v>-3.560749088129428E-3</v>
      </c>
      <c r="D252">
        <v>-2.0252743160187765</v>
      </c>
      <c r="E252" s="15">
        <v>1</v>
      </c>
      <c r="F252">
        <f t="shared" si="24"/>
        <v>7.4351120032500519E-3</v>
      </c>
      <c r="G252">
        <f t="shared" si="22"/>
        <v>134.4969651516854</v>
      </c>
      <c r="H252">
        <f t="shared" si="23"/>
        <v>-4.2574249727328821</v>
      </c>
    </row>
    <row r="253" spans="1:8" x14ac:dyDescent="0.2">
      <c r="A253" s="1">
        <v>40543</v>
      </c>
      <c r="B253">
        <v>295.87648380000002</v>
      </c>
      <c r="C253" s="2">
        <f t="shared" si="21"/>
        <v>-8.1655571169146988E-3</v>
      </c>
      <c r="D253">
        <v>1.2932132859730139</v>
      </c>
      <c r="E253" s="15">
        <v>0</v>
      </c>
      <c r="F253">
        <f t="shared" si="24"/>
        <v>2348.681134902889</v>
      </c>
      <c r="G253">
        <f t="shared" si="22"/>
        <v>0</v>
      </c>
      <c r="H253" t="e">
        <f t="shared" si="23"/>
        <v>#NUM!</v>
      </c>
    </row>
    <row r="254" spans="1:8" x14ac:dyDescent="0.2">
      <c r="A254" s="1">
        <v>40546</v>
      </c>
      <c r="B254">
        <v>301.04711650000002</v>
      </c>
      <c r="C254" s="2">
        <f t="shared" si="21"/>
        <v>1.7475646031724263E-2</v>
      </c>
      <c r="D254">
        <v>-3.1401657941408558</v>
      </c>
      <c r="E254" s="15">
        <v>0</v>
      </c>
      <c r="F254">
        <f t="shared" si="24"/>
        <v>201.21998748587561</v>
      </c>
      <c r="G254">
        <f t="shared" si="22"/>
        <v>0</v>
      </c>
      <c r="H254" t="e">
        <f t="shared" si="23"/>
        <v>#NUM!</v>
      </c>
    </row>
    <row r="255" spans="1:8" x14ac:dyDescent="0.2">
      <c r="A255" s="1">
        <v>40547</v>
      </c>
      <c r="B255">
        <v>299.93627470000001</v>
      </c>
      <c r="C255" s="2">
        <f t="shared" si="21"/>
        <v>-3.6899267228158381E-3</v>
      </c>
      <c r="D255">
        <v>-1.2111467991579459</v>
      </c>
      <c r="E255" s="15">
        <v>0</v>
      </c>
      <c r="F255">
        <f t="shared" si="24"/>
        <v>17.241956918902702</v>
      </c>
      <c r="G255">
        <f t="shared" si="22"/>
        <v>0</v>
      </c>
      <c r="H255" t="e">
        <f t="shared" si="23"/>
        <v>#NUM!</v>
      </c>
    </row>
    <row r="256" spans="1:8" x14ac:dyDescent="0.2">
      <c r="A256" s="1">
        <v>40548</v>
      </c>
      <c r="B256">
        <v>303.39831659999999</v>
      </c>
      <c r="C256" s="2">
        <f t="shared" si="21"/>
        <v>1.1542591517023913E-2</v>
      </c>
      <c r="D256">
        <v>-4.1281357013549549</v>
      </c>
      <c r="E256" s="15">
        <v>0</v>
      </c>
      <c r="F256">
        <f t="shared" si="24"/>
        <v>1.4801277598445228</v>
      </c>
      <c r="G256">
        <f t="shared" si="22"/>
        <v>0</v>
      </c>
      <c r="H256" t="e">
        <f t="shared" si="23"/>
        <v>#NUM!</v>
      </c>
    </row>
    <row r="257" spans="1:8" x14ac:dyDescent="0.2">
      <c r="A257" s="1">
        <v>40549</v>
      </c>
      <c r="B257">
        <v>305.60504680000003</v>
      </c>
      <c r="C257" s="2">
        <f t="shared" si="21"/>
        <v>7.2733765458210791E-3</v>
      </c>
      <c r="D257">
        <v>-0.3698662440671372</v>
      </c>
      <c r="E257" s="15">
        <v>0</v>
      </c>
      <c r="F257">
        <f t="shared" si="24"/>
        <v>0.12977490698636815</v>
      </c>
      <c r="G257">
        <f t="shared" si="22"/>
        <v>0</v>
      </c>
      <c r="H257" t="e">
        <f t="shared" si="23"/>
        <v>#NUM!</v>
      </c>
    </row>
    <row r="258" spans="1:8" x14ac:dyDescent="0.2">
      <c r="A258" s="1">
        <v>40550</v>
      </c>
      <c r="B258">
        <v>307.06955740000001</v>
      </c>
      <c r="C258" s="2">
        <f t="shared" si="21"/>
        <v>4.7921675879862551E-3</v>
      </c>
      <c r="D258">
        <v>-0.34113577678862278</v>
      </c>
      <c r="E258" s="15">
        <v>0</v>
      </c>
      <c r="F258">
        <f t="shared" si="24"/>
        <v>1.4087012591558279E-2</v>
      </c>
      <c r="G258">
        <f t="shared" si="22"/>
        <v>0</v>
      </c>
      <c r="H258" t="e">
        <f t="shared" si="23"/>
        <v>#NUM!</v>
      </c>
    </row>
    <row r="259" spans="1:8" x14ac:dyDescent="0.2">
      <c r="A259" s="1">
        <v>40553</v>
      </c>
      <c r="B259">
        <v>305.9587156</v>
      </c>
      <c r="C259" s="2">
        <f t="shared" si="21"/>
        <v>-3.6175575638485707E-3</v>
      </c>
      <c r="D259">
        <v>-1.7548896188266916</v>
      </c>
      <c r="E259" s="15">
        <v>0</v>
      </c>
      <c r="F259">
        <f t="shared" si="24"/>
        <v>4.1757594837673901E-3</v>
      </c>
      <c r="G259">
        <f t="shared" si="22"/>
        <v>0</v>
      </c>
      <c r="H259" t="e">
        <f t="shared" si="23"/>
        <v>#NUM!</v>
      </c>
    </row>
    <row r="260" spans="1:8" x14ac:dyDescent="0.2">
      <c r="A260" s="1">
        <v>40554</v>
      </c>
      <c r="B260">
        <v>306.85535379999999</v>
      </c>
      <c r="C260" s="2">
        <f t="shared" ref="C260:C323" si="25">(B260-B259)/B259</f>
        <v>2.9305855799585004E-3</v>
      </c>
      <c r="D260">
        <v>-1.8101006074498427</v>
      </c>
      <c r="E260" s="15">
        <v>0</v>
      </c>
      <c r="F260">
        <f t="shared" si="24"/>
        <v>3.3266391961126293E-3</v>
      </c>
      <c r="G260">
        <f t="shared" si="22"/>
        <v>0</v>
      </c>
      <c r="H260" t="e">
        <f t="shared" si="23"/>
        <v>#NUM!</v>
      </c>
    </row>
    <row r="261" spans="1:8" x14ac:dyDescent="0.2">
      <c r="A261" s="1">
        <v>40555</v>
      </c>
      <c r="B261">
        <v>307.28376050000003</v>
      </c>
      <c r="C261" s="2">
        <f t="shared" si="25"/>
        <v>1.3961193594792646E-3</v>
      </c>
      <c r="D261">
        <v>-0.52360396194297976</v>
      </c>
      <c r="E261" s="15">
        <v>0</v>
      </c>
      <c r="F261">
        <f t="shared" si="24"/>
        <v>3.2538930705656843E-3</v>
      </c>
      <c r="G261">
        <f t="shared" si="22"/>
        <v>0</v>
      </c>
      <c r="H261" t="e">
        <f t="shared" si="23"/>
        <v>#NUM!</v>
      </c>
    </row>
    <row r="262" spans="1:8" x14ac:dyDescent="0.2">
      <c r="A262" s="1">
        <v>40556</v>
      </c>
      <c r="B262">
        <v>307.19409960000002</v>
      </c>
      <c r="C262" s="2">
        <f t="shared" si="25"/>
        <v>-2.9178535127961171E-4</v>
      </c>
      <c r="D262">
        <v>-1.2089974251115922</v>
      </c>
      <c r="E262" s="15">
        <v>0</v>
      </c>
      <c r="F262">
        <f t="shared" si="24"/>
        <v>3.2476607394589714E-3</v>
      </c>
      <c r="G262">
        <f t="shared" si="22"/>
        <v>0</v>
      </c>
      <c r="H262" t="e">
        <f t="shared" si="23"/>
        <v>#NUM!</v>
      </c>
    </row>
    <row r="263" spans="1:8" x14ac:dyDescent="0.2">
      <c r="A263" s="1">
        <v>40557</v>
      </c>
      <c r="B263">
        <v>310.92512429999999</v>
      </c>
      <c r="C263" s="2">
        <f t="shared" si="25"/>
        <v>1.214549597423315E-2</v>
      </c>
      <c r="D263">
        <v>-42.624762589929951</v>
      </c>
      <c r="E263" s="15">
        <v>1</v>
      </c>
      <c r="F263">
        <f t="shared" si="24"/>
        <v>3.2471268010432599E-3</v>
      </c>
      <c r="G263">
        <f t="shared" si="22"/>
        <v>307.96456722254055</v>
      </c>
      <c r="H263">
        <f t="shared" si="23"/>
        <v>-4.9770015035994559</v>
      </c>
    </row>
    <row r="264" spans="1:8" x14ac:dyDescent="0.2">
      <c r="A264" s="1">
        <v>40561</v>
      </c>
      <c r="B264">
        <v>318.62127370000002</v>
      </c>
      <c r="C264" s="2">
        <f t="shared" si="25"/>
        <v>2.4752420433461975E-2</v>
      </c>
      <c r="D264">
        <v>1.0379917366877898</v>
      </c>
      <c r="E264" s="15">
        <v>0</v>
      </c>
      <c r="F264">
        <f t="shared" si="24"/>
        <v>12314.025285205737</v>
      </c>
      <c r="G264">
        <f t="shared" ref="G264:G327" si="26">E264/F264</f>
        <v>0</v>
      </c>
      <c r="H264" t="e">
        <f t="shared" ref="H264:H327" si="27">-LOG(G264^2)-(F264^2)/(G264^2)</f>
        <v>#NUM!</v>
      </c>
    </row>
    <row r="265" spans="1:8" x14ac:dyDescent="0.2">
      <c r="A265" s="1">
        <v>40562</v>
      </c>
      <c r="B265">
        <v>314.69597420000002</v>
      </c>
      <c r="C265" s="2">
        <f t="shared" si="25"/>
        <v>-1.2319640350492999E-2</v>
      </c>
      <c r="D265">
        <v>-1.4977145723429328</v>
      </c>
      <c r="E265" s="15">
        <v>0</v>
      </c>
      <c r="F265">
        <f t="shared" ref="F265:F328" si="28" xml:space="preserve"> $K$5 + $K$6 * G264 ^ 2 + $K$7 * F264</f>
        <v>1054.9743815525894</v>
      </c>
      <c r="G265">
        <f t="shared" si="26"/>
        <v>0</v>
      </c>
      <c r="H265" t="e">
        <f t="shared" si="27"/>
        <v>#NUM!</v>
      </c>
    </row>
    <row r="266" spans="1:8" x14ac:dyDescent="0.2">
      <c r="A266" s="1">
        <v>40563</v>
      </c>
      <c r="B266">
        <v>312.21528749999999</v>
      </c>
      <c r="C266" s="2">
        <f t="shared" si="25"/>
        <v>-7.8828040501829691E-3</v>
      </c>
      <c r="D266">
        <v>-0.36014333000658411</v>
      </c>
      <c r="E266" s="15">
        <v>1</v>
      </c>
      <c r="F266">
        <f t="shared" si="28"/>
        <v>90.385097225408856</v>
      </c>
      <c r="G266">
        <f t="shared" si="26"/>
        <v>1.1063770806221828E-2</v>
      </c>
      <c r="H266">
        <f t="shared" si="27"/>
        <v>-66740167.552473143</v>
      </c>
    </row>
    <row r="267" spans="1:8" x14ac:dyDescent="0.2">
      <c r="A267" s="1">
        <v>40564</v>
      </c>
      <c r="B267">
        <v>304.77316680000001</v>
      </c>
      <c r="C267" s="2">
        <f t="shared" si="25"/>
        <v>-2.3836503201336595E-2</v>
      </c>
      <c r="D267">
        <v>2.0238609319209604</v>
      </c>
      <c r="E267" s="15">
        <v>0</v>
      </c>
      <c r="F267">
        <f t="shared" si="28"/>
        <v>7.7464879446482131</v>
      </c>
      <c r="G267">
        <f t="shared" si="26"/>
        <v>0</v>
      </c>
      <c r="H267" t="e">
        <f t="shared" si="27"/>
        <v>#NUM!</v>
      </c>
    </row>
    <row r="268" spans="1:8" x14ac:dyDescent="0.2">
      <c r="A268" s="1">
        <v>40567</v>
      </c>
      <c r="B268">
        <v>304.39956969999997</v>
      </c>
      <c r="C268" s="2">
        <f t="shared" si="25"/>
        <v>-1.2258201859522773E-3</v>
      </c>
      <c r="D268">
        <v>-0.94857382496088849</v>
      </c>
      <c r="E268" s="15">
        <v>0</v>
      </c>
      <c r="F268">
        <f t="shared" si="28"/>
        <v>0.66662867358892641</v>
      </c>
      <c r="G268">
        <f t="shared" si="26"/>
        <v>0</v>
      </c>
      <c r="H268" t="e">
        <f t="shared" si="27"/>
        <v>#NUM!</v>
      </c>
    </row>
    <row r="269" spans="1:8" x14ac:dyDescent="0.2">
      <c r="A269" s="1">
        <v>40568</v>
      </c>
      <c r="B269">
        <v>308.79807599999998</v>
      </c>
      <c r="C269" s="2">
        <f t="shared" si="25"/>
        <v>1.4449778310576923E-2</v>
      </c>
      <c r="D269">
        <v>-12.787844967940078</v>
      </c>
      <c r="E269" s="15">
        <v>0</v>
      </c>
      <c r="F269">
        <f t="shared" si="28"/>
        <v>6.0080533266333072E-2</v>
      </c>
      <c r="G269">
        <f t="shared" si="26"/>
        <v>0</v>
      </c>
      <c r="H269" t="e">
        <f t="shared" si="27"/>
        <v>#NUM!</v>
      </c>
    </row>
    <row r="270" spans="1:8" x14ac:dyDescent="0.2">
      <c r="A270" s="1">
        <v>40569</v>
      </c>
      <c r="B270">
        <v>307.09943390000001</v>
      </c>
      <c r="C270" s="2">
        <f t="shared" si="25"/>
        <v>-5.5008182758236237E-3</v>
      </c>
      <c r="D270">
        <v>-1.3806853058636301</v>
      </c>
      <c r="E270" s="15">
        <v>0</v>
      </c>
      <c r="F270">
        <f t="shared" si="28"/>
        <v>8.1161322177581065E-3</v>
      </c>
      <c r="G270">
        <f t="shared" si="26"/>
        <v>0</v>
      </c>
      <c r="H270" t="e">
        <f t="shared" si="27"/>
        <v>#NUM!</v>
      </c>
    </row>
    <row r="271" spans="1:8" x14ac:dyDescent="0.2">
      <c r="A271" s="1">
        <v>40570</v>
      </c>
      <c r="B271">
        <v>307.24390440000002</v>
      </c>
      <c r="C271" s="2">
        <f t="shared" si="25"/>
        <v>4.7043557900876764E-4</v>
      </c>
      <c r="D271">
        <v>-1.0855210180413259</v>
      </c>
      <c r="E271" s="15">
        <v>0</v>
      </c>
      <c r="F271">
        <f t="shared" si="28"/>
        <v>3.6642201652358087E-3</v>
      </c>
      <c r="G271">
        <f t="shared" si="26"/>
        <v>0</v>
      </c>
      <c r="H271" t="e">
        <f t="shared" si="27"/>
        <v>#NUM!</v>
      </c>
    </row>
    <row r="272" spans="1:8" x14ac:dyDescent="0.2">
      <c r="A272" s="1">
        <v>40571</v>
      </c>
      <c r="B272">
        <v>299.37337710000003</v>
      </c>
      <c r="C272" s="2">
        <f t="shared" si="25"/>
        <v>-2.5616544990111092E-2</v>
      </c>
      <c r="D272">
        <v>-55.45282230584364</v>
      </c>
      <c r="E272" s="15">
        <v>0</v>
      </c>
      <c r="F272">
        <f t="shared" si="28"/>
        <v>3.2828144235460986E-3</v>
      </c>
      <c r="G272">
        <f t="shared" si="26"/>
        <v>0</v>
      </c>
      <c r="H272" t="e">
        <f t="shared" si="27"/>
        <v>#NUM!</v>
      </c>
    </row>
    <row r="273" spans="1:8" x14ac:dyDescent="0.2">
      <c r="A273" s="1">
        <v>40574</v>
      </c>
      <c r="B273">
        <v>299.05956429999998</v>
      </c>
      <c r="C273" s="2">
        <f t="shared" si="25"/>
        <v>-1.0482321542413819E-3</v>
      </c>
      <c r="D273">
        <v>-0.9590798776866265</v>
      </c>
      <c r="E273" s="15">
        <v>0</v>
      </c>
      <c r="F273">
        <f t="shared" si="28"/>
        <v>3.2501384995660956E-3</v>
      </c>
      <c r="G273">
        <f t="shared" si="26"/>
        <v>0</v>
      </c>
      <c r="H273" t="e">
        <f t="shared" si="27"/>
        <v>#NUM!</v>
      </c>
    </row>
    <row r="274" spans="1:8" x14ac:dyDescent="0.2">
      <c r="A274" s="1">
        <v>40575</v>
      </c>
      <c r="B274">
        <v>304.37964190000002</v>
      </c>
      <c r="C274" s="2">
        <f t="shared" si="25"/>
        <v>1.7789357823925805E-2</v>
      </c>
      <c r="D274">
        <v>-17.970818679761045</v>
      </c>
      <c r="E274" s="15">
        <v>0</v>
      </c>
      <c r="F274">
        <f t="shared" si="28"/>
        <v>3.2473390765599898E-3</v>
      </c>
      <c r="G274">
        <f t="shared" si="26"/>
        <v>0</v>
      </c>
      <c r="H274" t="e">
        <f t="shared" si="27"/>
        <v>#NUM!</v>
      </c>
    </row>
    <row r="275" spans="1:8" x14ac:dyDescent="0.2">
      <c r="A275" s="1">
        <v>40576</v>
      </c>
      <c r="B275">
        <v>304.85785290000001</v>
      </c>
      <c r="C275" s="2">
        <f t="shared" si="25"/>
        <v>1.5711004751004258E-3</v>
      </c>
      <c r="D275">
        <v>-0.91168312590871758</v>
      </c>
      <c r="E275" s="15">
        <v>0</v>
      </c>
      <c r="F275">
        <f t="shared" si="28"/>
        <v>3.2470992434286633E-3</v>
      </c>
      <c r="G275">
        <f t="shared" si="26"/>
        <v>0</v>
      </c>
      <c r="H275" t="e">
        <f t="shared" si="27"/>
        <v>#NUM!</v>
      </c>
    </row>
    <row r="276" spans="1:8" x14ac:dyDescent="0.2">
      <c r="A276" s="1">
        <v>40577</v>
      </c>
      <c r="B276">
        <v>303.93628169999999</v>
      </c>
      <c r="C276" s="2">
        <f t="shared" si="25"/>
        <v>-3.0229537839798143E-3</v>
      </c>
      <c r="D276">
        <v>-2.9240995925397995</v>
      </c>
      <c r="E276" s="15">
        <v>0</v>
      </c>
      <c r="F276">
        <f t="shared" si="28"/>
        <v>3.2470786963620869E-3</v>
      </c>
      <c r="G276">
        <f t="shared" si="26"/>
        <v>0</v>
      </c>
      <c r="H276" t="e">
        <f t="shared" si="27"/>
        <v>#NUM!</v>
      </c>
    </row>
    <row r="277" spans="1:8" x14ac:dyDescent="0.2">
      <c r="A277" s="1">
        <v>40578</v>
      </c>
      <c r="B277">
        <v>304.34973450000001</v>
      </c>
      <c r="C277" s="2">
        <f t="shared" si="25"/>
        <v>1.3603272294030171E-3</v>
      </c>
      <c r="D277">
        <v>-1.4499993471987862</v>
      </c>
      <c r="E277" s="15">
        <v>1</v>
      </c>
      <c r="F277">
        <f t="shared" si="28"/>
        <v>3.2470769360467269E-3</v>
      </c>
      <c r="G277">
        <f t="shared" si="26"/>
        <v>307.96929659987876</v>
      </c>
      <c r="H277">
        <f t="shared" si="27"/>
        <v>-4.9770148423203828</v>
      </c>
    </row>
    <row r="278" spans="1:8" x14ac:dyDescent="0.2">
      <c r="A278" s="1">
        <v>40581</v>
      </c>
      <c r="B278">
        <v>305.99857170000001</v>
      </c>
      <c r="C278" s="2">
        <f t="shared" si="25"/>
        <v>5.4175739719595599E-3</v>
      </c>
      <c r="D278">
        <v>2.9825520322320354</v>
      </c>
      <c r="E278" s="15">
        <v>1</v>
      </c>
      <c r="F278">
        <f t="shared" si="28"/>
        <v>12314.40349821778</v>
      </c>
      <c r="G278">
        <f t="shared" si="26"/>
        <v>8.1205719801590584E-5</v>
      </c>
      <c r="H278">
        <f t="shared" si="27"/>
        <v>-2.2996064545563752E+16</v>
      </c>
    </row>
    <row r="279" spans="1:8" x14ac:dyDescent="0.2">
      <c r="A279" s="1">
        <v>40582</v>
      </c>
      <c r="B279">
        <v>308.0359287</v>
      </c>
      <c r="C279" s="2">
        <f t="shared" si="25"/>
        <v>6.6580604892411193E-3</v>
      </c>
      <c r="D279">
        <v>0.2289745416863907</v>
      </c>
      <c r="E279" s="15">
        <v>0</v>
      </c>
      <c r="F279">
        <f t="shared" si="28"/>
        <v>1055.0067839487922</v>
      </c>
      <c r="G279">
        <f t="shared" si="26"/>
        <v>0</v>
      </c>
      <c r="H279" t="e">
        <f t="shared" si="27"/>
        <v>#NUM!</v>
      </c>
    </row>
    <row r="280" spans="1:8" x14ac:dyDescent="0.2">
      <c r="A280" s="1">
        <v>40583</v>
      </c>
      <c r="B280">
        <v>307.09943390000001</v>
      </c>
      <c r="C280" s="2">
        <f t="shared" si="25"/>
        <v>-3.0402128866988602E-3</v>
      </c>
      <c r="D280">
        <v>-1.4566213977195905</v>
      </c>
      <c r="E280" s="15">
        <v>0</v>
      </c>
      <c r="F280">
        <f t="shared" si="28"/>
        <v>90.387873214649076</v>
      </c>
      <c r="G280">
        <f t="shared" si="26"/>
        <v>0</v>
      </c>
      <c r="H280" t="e">
        <f t="shared" si="27"/>
        <v>#NUM!</v>
      </c>
    </row>
    <row r="281" spans="1:8" x14ac:dyDescent="0.2">
      <c r="A281" s="1">
        <v>40584</v>
      </c>
      <c r="B281">
        <v>307.06955740000001</v>
      </c>
      <c r="C281" s="2">
        <f t="shared" si="25"/>
        <v>-9.7286079692771144E-5</v>
      </c>
      <c r="D281">
        <v>-0.96800024099680504</v>
      </c>
      <c r="E281" s="15">
        <v>0</v>
      </c>
      <c r="F281">
        <f t="shared" si="28"/>
        <v>7.7467098771948484</v>
      </c>
      <c r="G281">
        <f t="shared" si="26"/>
        <v>0</v>
      </c>
      <c r="H281" t="e">
        <f t="shared" si="27"/>
        <v>#NUM!</v>
      </c>
    </row>
    <row r="282" spans="1:8" x14ac:dyDescent="0.2">
      <c r="A282" s="1">
        <v>40585</v>
      </c>
      <c r="B282">
        <v>311.08451789999998</v>
      </c>
      <c r="C282" s="2">
        <f t="shared" si="25"/>
        <v>1.3075084791847139E-2</v>
      </c>
      <c r="D282">
        <v>-135.39831097252741</v>
      </c>
      <c r="E282" s="15">
        <v>0</v>
      </c>
      <c r="F282">
        <f t="shared" si="28"/>
        <v>0.66664768707044986</v>
      </c>
      <c r="G282">
        <f t="shared" si="26"/>
        <v>0</v>
      </c>
      <c r="H282" t="e">
        <f t="shared" si="27"/>
        <v>#NUM!</v>
      </c>
    </row>
    <row r="283" spans="1:8" x14ac:dyDescent="0.2">
      <c r="A283" s="1">
        <v>40588</v>
      </c>
      <c r="B283">
        <v>312.90269740000002</v>
      </c>
      <c r="C283" s="2">
        <f t="shared" si="25"/>
        <v>5.8446479827212322E-3</v>
      </c>
      <c r="D283">
        <v>-0.5529934929090774</v>
      </c>
      <c r="E283" s="15">
        <v>0</v>
      </c>
      <c r="F283">
        <f t="shared" si="28"/>
        <v>6.0082162195866491E-2</v>
      </c>
      <c r="G283">
        <f t="shared" si="26"/>
        <v>0</v>
      </c>
      <c r="H283" t="e">
        <f t="shared" si="27"/>
        <v>#NUM!</v>
      </c>
    </row>
    <row r="284" spans="1:8" x14ac:dyDescent="0.2">
      <c r="A284" s="1">
        <v>40589</v>
      </c>
      <c r="B284">
        <v>310.91017040000003</v>
      </c>
      <c r="C284" s="2">
        <f t="shared" si="25"/>
        <v>-6.3678805473921596E-3</v>
      </c>
      <c r="D284">
        <v>-2.0895233667139204</v>
      </c>
      <c r="E284" s="15">
        <v>0</v>
      </c>
      <c r="F284">
        <f t="shared" si="28"/>
        <v>8.116271771969762E-3</v>
      </c>
      <c r="G284">
        <f t="shared" si="26"/>
        <v>0</v>
      </c>
      <c r="H284" t="e">
        <f t="shared" si="27"/>
        <v>#NUM!</v>
      </c>
    </row>
    <row r="285" spans="1:8" x14ac:dyDescent="0.2">
      <c r="A285" s="1">
        <v>40590</v>
      </c>
      <c r="B285">
        <v>310.94502169999998</v>
      </c>
      <c r="C285" s="2">
        <f t="shared" si="25"/>
        <v>1.1209443536414163E-4</v>
      </c>
      <c r="D285">
        <v>-1.017603099576051</v>
      </c>
      <c r="E285" s="15">
        <v>1</v>
      </c>
      <c r="F285">
        <f t="shared" si="28"/>
        <v>3.664232121172264E-3</v>
      </c>
      <c r="G285">
        <f t="shared" si="26"/>
        <v>272.90847493582891</v>
      </c>
      <c r="H285">
        <f t="shared" si="27"/>
        <v>-4.8720340452153046</v>
      </c>
    </row>
    <row r="286" spans="1:8" x14ac:dyDescent="0.2">
      <c r="A286" s="1">
        <v>40591</v>
      </c>
      <c r="B286">
        <v>311.4630889</v>
      </c>
      <c r="C286" s="2">
        <f t="shared" si="25"/>
        <v>1.666105465100034E-3</v>
      </c>
      <c r="D286">
        <v>13.863409228902826</v>
      </c>
      <c r="E286" s="15">
        <v>1</v>
      </c>
      <c r="F286">
        <f t="shared" si="28"/>
        <v>9670.1367453892872</v>
      </c>
      <c r="G286">
        <f t="shared" si="26"/>
        <v>1.0341115398154003E-4</v>
      </c>
      <c r="H286">
        <f t="shared" si="27"/>
        <v>-8744408987416261</v>
      </c>
    </row>
    <row r="287" spans="1:8" x14ac:dyDescent="0.2">
      <c r="A287" s="1">
        <v>40592</v>
      </c>
      <c r="B287">
        <v>313.86409429999998</v>
      </c>
      <c r="C287" s="2">
        <f t="shared" si="25"/>
        <v>7.7087959555003759E-3</v>
      </c>
      <c r="D287">
        <v>3.6268355257075728</v>
      </c>
      <c r="E287" s="15">
        <v>0</v>
      </c>
      <c r="F287">
        <f t="shared" si="28"/>
        <v>828.46625255751712</v>
      </c>
      <c r="G287">
        <f t="shared" si="26"/>
        <v>0</v>
      </c>
      <c r="H287" t="e">
        <f t="shared" si="27"/>
        <v>#NUM!</v>
      </c>
    </row>
    <row r="288" spans="1:8" x14ac:dyDescent="0.2">
      <c r="A288" s="1">
        <v>40596</v>
      </c>
      <c r="B288">
        <v>303.96618910000001</v>
      </c>
      <c r="C288" s="2">
        <f t="shared" si="25"/>
        <v>-3.1535640360758427E-2</v>
      </c>
      <c r="D288">
        <v>-5.0908645841452236</v>
      </c>
      <c r="E288" s="15">
        <v>0</v>
      </c>
      <c r="F288">
        <f t="shared" si="28"/>
        <v>70.979614835169869</v>
      </c>
      <c r="G288">
        <f t="shared" si="26"/>
        <v>0</v>
      </c>
      <c r="H288" t="e">
        <f t="shared" si="27"/>
        <v>#NUM!</v>
      </c>
    </row>
    <row r="289" spans="1:8" x14ac:dyDescent="0.2">
      <c r="A289" s="1">
        <v>40597</v>
      </c>
      <c r="B289">
        <v>304.51910709999999</v>
      </c>
      <c r="C289" s="2">
        <f t="shared" si="25"/>
        <v>1.8190115211072892E-3</v>
      </c>
      <c r="D289">
        <v>-1.057681134750978</v>
      </c>
      <c r="E289" s="15">
        <v>0</v>
      </c>
      <c r="F289">
        <f t="shared" si="28"/>
        <v>6.0839588850819535</v>
      </c>
      <c r="G289">
        <f t="shared" si="26"/>
        <v>0</v>
      </c>
      <c r="H289" t="e">
        <f t="shared" si="27"/>
        <v>#NUM!</v>
      </c>
    </row>
    <row r="290" spans="1:8" x14ac:dyDescent="0.2">
      <c r="A290" s="1">
        <v>40598</v>
      </c>
      <c r="B290">
        <v>303.27377439999998</v>
      </c>
      <c r="C290" s="2">
        <f t="shared" si="25"/>
        <v>-4.0895059487714028E-3</v>
      </c>
      <c r="D290">
        <v>-3.2482023347944451</v>
      </c>
      <c r="E290" s="15">
        <v>0</v>
      </c>
      <c r="F290">
        <f t="shared" si="28"/>
        <v>0.52419591176351976</v>
      </c>
      <c r="G290">
        <f t="shared" si="26"/>
        <v>0</v>
      </c>
      <c r="H290" t="e">
        <f t="shared" si="27"/>
        <v>#NUM!</v>
      </c>
    </row>
    <row r="291" spans="1:8" x14ac:dyDescent="0.2">
      <c r="A291" s="1">
        <v>40599</v>
      </c>
      <c r="B291">
        <v>303.88150250000001</v>
      </c>
      <c r="C291" s="2">
        <f t="shared" si="25"/>
        <v>2.0038926913557458E-3</v>
      </c>
      <c r="D291">
        <v>-1.4900085038286273</v>
      </c>
      <c r="E291" s="15">
        <v>1</v>
      </c>
      <c r="F291">
        <f t="shared" si="28"/>
        <v>4.7877984670577543E-2</v>
      </c>
      <c r="G291">
        <f t="shared" si="26"/>
        <v>20.88642633729172</v>
      </c>
      <c r="H291">
        <f t="shared" si="27"/>
        <v>-2.6397335319484658</v>
      </c>
    </row>
    <row r="292" spans="1:8" x14ac:dyDescent="0.2">
      <c r="A292" s="1">
        <v>40602</v>
      </c>
      <c r="B292">
        <v>305.5552419</v>
      </c>
      <c r="C292" s="2">
        <f t="shared" si="25"/>
        <v>5.5078686469242667E-3</v>
      </c>
      <c r="D292">
        <v>1.7485846276518353</v>
      </c>
      <c r="E292" s="15">
        <v>0</v>
      </c>
      <c r="F292">
        <f t="shared" si="28"/>
        <v>56.647521391625411</v>
      </c>
      <c r="G292">
        <f t="shared" si="26"/>
        <v>0</v>
      </c>
      <c r="H292" t="e">
        <f t="shared" si="27"/>
        <v>#NUM!</v>
      </c>
    </row>
    <row r="293" spans="1:8" x14ac:dyDescent="0.2">
      <c r="A293" s="1">
        <v>40603</v>
      </c>
      <c r="B293">
        <v>299.25881399999997</v>
      </c>
      <c r="C293" s="2">
        <f t="shared" si="25"/>
        <v>-2.0606512461863367E-2</v>
      </c>
      <c r="D293">
        <v>-4.7412861095317815</v>
      </c>
      <c r="E293" s="15">
        <v>0</v>
      </c>
      <c r="F293">
        <f t="shared" si="28"/>
        <v>4.856094842551224</v>
      </c>
      <c r="G293">
        <f t="shared" si="26"/>
        <v>0</v>
      </c>
      <c r="H293" t="e">
        <f t="shared" si="27"/>
        <v>#NUM!</v>
      </c>
    </row>
    <row r="294" spans="1:8" x14ac:dyDescent="0.2">
      <c r="A294" s="1">
        <v>40604</v>
      </c>
      <c r="B294">
        <v>299.2737674</v>
      </c>
      <c r="C294" s="2">
        <f t="shared" si="25"/>
        <v>4.9968118900666473E-5</v>
      </c>
      <c r="D294">
        <v>-1.0024248702439651</v>
      </c>
      <c r="E294" s="15">
        <v>1</v>
      </c>
      <c r="F294">
        <f t="shared" si="28"/>
        <v>0.41900192088712129</v>
      </c>
      <c r="G294">
        <f t="shared" si="26"/>
        <v>2.3866239034961345</v>
      </c>
      <c r="H294">
        <f t="shared" si="27"/>
        <v>-0.7863902019956982</v>
      </c>
    </row>
    <row r="295" spans="1:8" x14ac:dyDescent="0.2">
      <c r="A295" s="1">
        <v>40605</v>
      </c>
      <c r="B295">
        <v>303.64239679999997</v>
      </c>
      <c r="C295" s="2">
        <f t="shared" si="25"/>
        <v>1.4597435110846187E-2</v>
      </c>
      <c r="D295">
        <v>291.13497389935742</v>
      </c>
      <c r="E295" s="15">
        <v>0</v>
      </c>
      <c r="F295">
        <f t="shared" si="28"/>
        <v>0.7784138168390905</v>
      </c>
      <c r="G295">
        <f t="shared" si="26"/>
        <v>0</v>
      </c>
      <c r="H295" t="e">
        <f t="shared" si="27"/>
        <v>#NUM!</v>
      </c>
    </row>
    <row r="296" spans="1:8" x14ac:dyDescent="0.2">
      <c r="A296" s="1">
        <v>40606</v>
      </c>
      <c r="B296">
        <v>299.18908140000002</v>
      </c>
      <c r="C296" s="2">
        <f t="shared" si="25"/>
        <v>-1.4666316189478688E-2</v>
      </c>
      <c r="D296">
        <v>-2.0047187110687221</v>
      </c>
      <c r="E296" s="15">
        <v>1</v>
      </c>
      <c r="F296">
        <f t="shared" si="28"/>
        <v>6.9657428534752305E-2</v>
      </c>
      <c r="G296">
        <f t="shared" si="26"/>
        <v>14.355970655751337</v>
      </c>
      <c r="H296">
        <f t="shared" si="27"/>
        <v>-2.3140886673203234</v>
      </c>
    </row>
    <row r="297" spans="1:8" x14ac:dyDescent="0.2">
      <c r="A297" s="1">
        <v>40609</v>
      </c>
      <c r="B297">
        <v>294.72581680000002</v>
      </c>
      <c r="C297" s="2">
        <f t="shared" si="25"/>
        <v>-1.4917872601215861E-2</v>
      </c>
      <c r="D297">
        <v>1.715198339427821E-2</v>
      </c>
      <c r="E297" s="15">
        <v>0</v>
      </c>
      <c r="F297">
        <f t="shared" si="28"/>
        <v>26.767546424841587</v>
      </c>
      <c r="G297">
        <f t="shared" si="26"/>
        <v>0</v>
      </c>
      <c r="H297" t="e">
        <f t="shared" si="27"/>
        <v>#NUM!</v>
      </c>
    </row>
    <row r="298" spans="1:8" x14ac:dyDescent="0.2">
      <c r="A298" s="1">
        <v>40610</v>
      </c>
      <c r="B298">
        <v>295.04957819999998</v>
      </c>
      <c r="C298" s="2">
        <f t="shared" si="25"/>
        <v>1.0985172711207383E-3</v>
      </c>
      <c r="D298">
        <v>-1.0736376627208364</v>
      </c>
      <c r="E298" s="15">
        <v>0</v>
      </c>
      <c r="F298">
        <f t="shared" si="28"/>
        <v>2.2962073426579224</v>
      </c>
      <c r="G298">
        <f t="shared" si="26"/>
        <v>0</v>
      </c>
      <c r="H298" t="e">
        <f t="shared" si="27"/>
        <v>#NUM!</v>
      </c>
    </row>
    <row r="299" spans="1:8" x14ac:dyDescent="0.2">
      <c r="A299" s="1">
        <v>40611</v>
      </c>
      <c r="B299">
        <v>294.780596</v>
      </c>
      <c r="C299" s="2">
        <f t="shared" si="25"/>
        <v>-9.1165085420882061E-4</v>
      </c>
      <c r="D299">
        <v>-1.8298921447805083</v>
      </c>
      <c r="E299" s="15">
        <v>1</v>
      </c>
      <c r="F299">
        <f t="shared" si="28"/>
        <v>0.19969035789569742</v>
      </c>
      <c r="G299">
        <f t="shared" si="26"/>
        <v>5.007753055970392</v>
      </c>
      <c r="H299">
        <f t="shared" si="27"/>
        <v>-1.4008759237447468</v>
      </c>
    </row>
    <row r="300" spans="1:8" x14ac:dyDescent="0.2">
      <c r="A300" s="1">
        <v>40612</v>
      </c>
      <c r="B300">
        <v>289.0669934</v>
      </c>
      <c r="C300" s="2">
        <f t="shared" si="25"/>
        <v>-1.9382560037974825E-2</v>
      </c>
      <c r="D300">
        <v>20.260946499958088</v>
      </c>
      <c r="E300" s="15">
        <v>0</v>
      </c>
      <c r="F300">
        <f t="shared" si="28"/>
        <v>3.2760756043930135</v>
      </c>
      <c r="G300">
        <f t="shared" si="26"/>
        <v>0</v>
      </c>
      <c r="H300" t="e">
        <f t="shared" si="27"/>
        <v>#NUM!</v>
      </c>
    </row>
    <row r="301" spans="1:8" x14ac:dyDescent="0.2">
      <c r="A301" s="1">
        <v>40613</v>
      </c>
      <c r="B301">
        <v>287.27869090000002</v>
      </c>
      <c r="C301" s="2">
        <f t="shared" si="25"/>
        <v>-6.1864638330582445E-3</v>
      </c>
      <c r="D301">
        <v>-0.68082318223508342</v>
      </c>
      <c r="E301" s="15">
        <v>1</v>
      </c>
      <c r="F301">
        <f t="shared" si="28"/>
        <v>0.28363796888085574</v>
      </c>
      <c r="G301">
        <f t="shared" si="26"/>
        <v>3.5256210723327297</v>
      </c>
      <c r="H301">
        <f t="shared" si="27"/>
        <v>-1.1009435490309145</v>
      </c>
    </row>
    <row r="302" spans="1:8" x14ac:dyDescent="0.2">
      <c r="A302" s="1">
        <v>40616</v>
      </c>
      <c r="B302">
        <v>283.9312425</v>
      </c>
      <c r="C302" s="2">
        <f t="shared" si="25"/>
        <v>-1.1652268358342129E-2</v>
      </c>
      <c r="D302">
        <v>0.88351030132538477</v>
      </c>
      <c r="E302" s="15">
        <v>0</v>
      </c>
      <c r="F302">
        <f t="shared" si="28"/>
        <v>1.6411430614128106</v>
      </c>
      <c r="G302">
        <f t="shared" si="26"/>
        <v>0</v>
      </c>
      <c r="H302" t="e">
        <f t="shared" si="27"/>
        <v>#NUM!</v>
      </c>
    </row>
    <row r="303" spans="1:8" x14ac:dyDescent="0.2">
      <c r="A303" s="1">
        <v>40617</v>
      </c>
      <c r="B303">
        <v>283.71703939999998</v>
      </c>
      <c r="C303" s="2">
        <f t="shared" si="25"/>
        <v>-7.5441891534715557E-4</v>
      </c>
      <c r="D303">
        <v>-0.93525561786370548</v>
      </c>
      <c r="E303" s="15">
        <v>1</v>
      </c>
      <c r="F303">
        <f t="shared" si="28"/>
        <v>0.14356946532299367</v>
      </c>
      <c r="G303">
        <f t="shared" si="26"/>
        <v>6.9652693750043726</v>
      </c>
      <c r="H303">
        <f t="shared" si="27"/>
        <v>-1.6863006964343539</v>
      </c>
    </row>
    <row r="304" spans="1:8" x14ac:dyDescent="0.2">
      <c r="A304" s="1">
        <v>40618</v>
      </c>
      <c r="B304">
        <v>277.51030229999998</v>
      </c>
      <c r="C304" s="2">
        <f t="shared" si="25"/>
        <v>-2.1876504538204337E-2</v>
      </c>
      <c r="D304">
        <v>27.997820830271177</v>
      </c>
      <c r="E304" s="15">
        <v>0</v>
      </c>
      <c r="F304">
        <f t="shared" si="28"/>
        <v>6.3143072410678451</v>
      </c>
      <c r="G304">
        <f t="shared" si="26"/>
        <v>0</v>
      </c>
      <c r="H304" t="e">
        <f t="shared" si="27"/>
        <v>#NUM!</v>
      </c>
    </row>
    <row r="305" spans="1:8" x14ac:dyDescent="0.2">
      <c r="A305" s="1">
        <v>40619</v>
      </c>
      <c r="B305">
        <v>279.6323458</v>
      </c>
      <c r="C305" s="2">
        <f t="shared" si="25"/>
        <v>7.64671971603419E-3</v>
      </c>
      <c r="D305">
        <v>-1.3495402888829993</v>
      </c>
      <c r="E305" s="15">
        <v>0</v>
      </c>
      <c r="F305">
        <f t="shared" si="28"/>
        <v>0.54393039540230326</v>
      </c>
      <c r="G305">
        <f t="shared" si="26"/>
        <v>0</v>
      </c>
      <c r="H305" t="e">
        <f t="shared" si="27"/>
        <v>#NUM!</v>
      </c>
    </row>
    <row r="306" spans="1:8" x14ac:dyDescent="0.2">
      <c r="A306" s="1">
        <v>40620</v>
      </c>
      <c r="B306">
        <v>279.48290100000003</v>
      </c>
      <c r="C306" s="2">
        <f t="shared" si="25"/>
        <v>-5.3443316642222763E-4</v>
      </c>
      <c r="D306">
        <v>-1.0698905133532735</v>
      </c>
      <c r="E306" s="15">
        <v>0</v>
      </c>
      <c r="F306">
        <f t="shared" si="28"/>
        <v>4.9568684145390667E-2</v>
      </c>
      <c r="G306">
        <f t="shared" si="26"/>
        <v>0</v>
      </c>
      <c r="H306" t="e">
        <f t="shared" si="27"/>
        <v>#NUM!</v>
      </c>
    </row>
    <row r="307" spans="1:8" x14ac:dyDescent="0.2">
      <c r="A307" s="1">
        <v>40623</v>
      </c>
      <c r="B307">
        <v>287.17410690000003</v>
      </c>
      <c r="C307" s="2">
        <f t="shared" si="25"/>
        <v>2.7519414863952624E-2</v>
      </c>
      <c r="D307">
        <v>-52.492715259761738</v>
      </c>
      <c r="E307" s="15">
        <v>0</v>
      </c>
      <c r="F307">
        <f t="shared" si="28"/>
        <v>7.2155574617424629E-3</v>
      </c>
      <c r="G307">
        <f t="shared" si="26"/>
        <v>0</v>
      </c>
      <c r="H307" t="e">
        <f t="shared" si="27"/>
        <v>#NUM!</v>
      </c>
    </row>
    <row r="308" spans="1:8" x14ac:dyDescent="0.2">
      <c r="A308" s="1">
        <v>40624</v>
      </c>
      <c r="B308">
        <v>287.58255500000001</v>
      </c>
      <c r="C308" s="2">
        <f t="shared" si="25"/>
        <v>1.4223012806033274E-3</v>
      </c>
      <c r="D308">
        <v>-0.94831644176902963</v>
      </c>
      <c r="E308" s="15">
        <v>1</v>
      </c>
      <c r="F308">
        <f t="shared" si="28"/>
        <v>3.5870658147650778E-3</v>
      </c>
      <c r="G308">
        <f t="shared" si="26"/>
        <v>278.77938449966564</v>
      </c>
      <c r="H308">
        <f t="shared" si="27"/>
        <v>-4.8905213099710956</v>
      </c>
    </row>
    <row r="309" spans="1:8" x14ac:dyDescent="0.2">
      <c r="A309" s="1">
        <v>40625</v>
      </c>
      <c r="B309">
        <v>289.993539</v>
      </c>
      <c r="C309" s="2">
        <f t="shared" si="25"/>
        <v>8.3836239649515074E-3</v>
      </c>
      <c r="D309">
        <v>4.8944079424545333</v>
      </c>
      <c r="E309" s="15">
        <v>0</v>
      </c>
      <c r="F309">
        <f t="shared" si="28"/>
        <v>10090.666987853514</v>
      </c>
      <c r="G309">
        <f t="shared" si="26"/>
        <v>0</v>
      </c>
      <c r="H309" t="e">
        <f t="shared" si="27"/>
        <v>#NUM!</v>
      </c>
    </row>
    <row r="310" spans="1:8" x14ac:dyDescent="0.2">
      <c r="A310" s="1">
        <v>40626</v>
      </c>
      <c r="B310">
        <v>292.34971400000001</v>
      </c>
      <c r="C310" s="2">
        <f t="shared" si="25"/>
        <v>8.1249223969779797E-3</v>
      </c>
      <c r="D310">
        <v>-3.0857964175761317E-2</v>
      </c>
      <c r="E310" s="15">
        <v>0</v>
      </c>
      <c r="F310">
        <f t="shared" si="28"/>
        <v>864.49406423294499</v>
      </c>
      <c r="G310">
        <f t="shared" si="26"/>
        <v>0</v>
      </c>
      <c r="H310" t="e">
        <f t="shared" si="27"/>
        <v>#NUM!</v>
      </c>
    </row>
    <row r="311" spans="1:8" x14ac:dyDescent="0.2">
      <c r="A311" s="1">
        <v>40627</v>
      </c>
      <c r="B311">
        <v>288.7880624</v>
      </c>
      <c r="C311" s="2">
        <f t="shared" si="25"/>
        <v>-1.2182846192214864E-2</v>
      </c>
      <c r="D311">
        <v>-2.4994415450350895</v>
      </c>
      <c r="E311" s="15">
        <v>0</v>
      </c>
      <c r="F311">
        <f t="shared" si="28"/>
        <v>74.066201917620987</v>
      </c>
      <c r="G311">
        <f t="shared" si="26"/>
        <v>0</v>
      </c>
      <c r="H311" t="e">
        <f t="shared" si="27"/>
        <v>#NUM!</v>
      </c>
    </row>
    <row r="312" spans="1:8" x14ac:dyDescent="0.2">
      <c r="A312" s="1">
        <v>40630</v>
      </c>
      <c r="B312">
        <v>286.60623500000003</v>
      </c>
      <c r="C312" s="2">
        <f t="shared" si="25"/>
        <v>-7.5551163087133706E-3</v>
      </c>
      <c r="D312">
        <v>-0.37985621836535421</v>
      </c>
      <c r="E312" s="15">
        <v>0</v>
      </c>
      <c r="F312">
        <f t="shared" si="28"/>
        <v>6.3483940359976518</v>
      </c>
      <c r="G312">
        <f t="shared" si="26"/>
        <v>0</v>
      </c>
      <c r="H312" t="e">
        <f t="shared" si="27"/>
        <v>#NUM!</v>
      </c>
    </row>
    <row r="313" spans="1:8" x14ac:dyDescent="0.2">
      <c r="A313" s="1">
        <v>40631</v>
      </c>
      <c r="B313">
        <v>289.77933589999998</v>
      </c>
      <c r="C313" s="2">
        <f t="shared" si="25"/>
        <v>1.1071290546069075E-2</v>
      </c>
      <c r="D313">
        <v>-2.4654030584943443</v>
      </c>
      <c r="E313" s="15">
        <v>0</v>
      </c>
      <c r="F313">
        <f t="shared" si="28"/>
        <v>0.54685069103003514</v>
      </c>
      <c r="G313">
        <f t="shared" si="26"/>
        <v>0</v>
      </c>
      <c r="H313" t="e">
        <f t="shared" si="27"/>
        <v>#NUM!</v>
      </c>
    </row>
    <row r="314" spans="1:8" x14ac:dyDescent="0.2">
      <c r="A314" s="1">
        <v>40632</v>
      </c>
      <c r="B314">
        <v>289.83411510000002</v>
      </c>
      <c r="C314" s="2">
        <f t="shared" si="25"/>
        <v>1.8903763385994196E-4</v>
      </c>
      <c r="D314">
        <v>-0.98292542020522977</v>
      </c>
      <c r="E314" s="15">
        <v>1</v>
      </c>
      <c r="F314">
        <f t="shared" si="28"/>
        <v>4.9818872717560969E-2</v>
      </c>
      <c r="G314">
        <f t="shared" si="26"/>
        <v>20.072714323933383</v>
      </c>
      <c r="H314">
        <f t="shared" si="27"/>
        <v>-2.6052183674035287</v>
      </c>
    </row>
    <row r="315" spans="1:8" x14ac:dyDescent="0.2">
      <c r="A315" s="1">
        <v>40633</v>
      </c>
      <c r="B315">
        <v>292.28495570000001</v>
      </c>
      <c r="C315" s="2">
        <f t="shared" si="25"/>
        <v>8.4560114641935476E-3</v>
      </c>
      <c r="D315">
        <v>43.731894340460315</v>
      </c>
      <c r="E315" s="15">
        <v>1</v>
      </c>
      <c r="F315">
        <f t="shared" si="28"/>
        <v>52.320357954186747</v>
      </c>
      <c r="G315">
        <f t="shared" si="26"/>
        <v>1.9113019082851641E-2</v>
      </c>
      <c r="H315">
        <f t="shared" si="27"/>
        <v>-7493464.0331684984</v>
      </c>
    </row>
    <row r="316" spans="1:8" x14ac:dyDescent="0.2">
      <c r="A316" s="1">
        <v>40634</v>
      </c>
      <c r="B316">
        <v>294.79554940000003</v>
      </c>
      <c r="C316" s="2">
        <f t="shared" si="25"/>
        <v>8.5895413056321576E-3</v>
      </c>
      <c r="D316">
        <v>1.5791114049931675E-2</v>
      </c>
      <c r="E316" s="15">
        <v>0</v>
      </c>
      <c r="F316">
        <f t="shared" si="28"/>
        <v>4.4854240375751218</v>
      </c>
      <c r="G316">
        <f t="shared" si="26"/>
        <v>0</v>
      </c>
      <c r="H316" t="e">
        <f t="shared" si="27"/>
        <v>#NUM!</v>
      </c>
    </row>
    <row r="317" spans="1:8" x14ac:dyDescent="0.2">
      <c r="A317" s="1">
        <v>40637</v>
      </c>
      <c r="B317">
        <v>292.74323900000002</v>
      </c>
      <c r="C317" s="2">
        <f t="shared" si="25"/>
        <v>-6.9618093087805959E-3</v>
      </c>
      <c r="D317">
        <v>-1.8104983794903857</v>
      </c>
      <c r="E317" s="15">
        <v>1</v>
      </c>
      <c r="F317">
        <f t="shared" si="28"/>
        <v>0.38724568410015836</v>
      </c>
      <c r="G317">
        <f t="shared" si="26"/>
        <v>2.5823399486651399</v>
      </c>
      <c r="H317">
        <f t="shared" si="27"/>
        <v>-0.84651459523158012</v>
      </c>
    </row>
    <row r="318" spans="1:8" x14ac:dyDescent="0.2">
      <c r="A318" s="1">
        <v>40638</v>
      </c>
      <c r="B318">
        <v>283.48293840000002</v>
      </c>
      <c r="C318" s="2">
        <f t="shared" si="25"/>
        <v>-3.1632841911679449E-2</v>
      </c>
      <c r="D318">
        <v>3.5437673611344773</v>
      </c>
      <c r="E318" s="15">
        <v>0</v>
      </c>
      <c r="F318">
        <f t="shared" si="28"/>
        <v>0.90196042681361044</v>
      </c>
      <c r="G318">
        <f t="shared" si="26"/>
        <v>0</v>
      </c>
      <c r="H318" t="e">
        <f t="shared" si="27"/>
        <v>#NUM!</v>
      </c>
    </row>
    <row r="319" spans="1:8" x14ac:dyDescent="0.2">
      <c r="A319" s="1">
        <v>40639</v>
      </c>
      <c r="B319">
        <v>286.0184347</v>
      </c>
      <c r="C319" s="2">
        <f t="shared" si="25"/>
        <v>8.9440878322713784E-3</v>
      </c>
      <c r="D319">
        <v>-1.2827468950543155</v>
      </c>
      <c r="E319" s="15">
        <v>1</v>
      </c>
      <c r="F319">
        <f t="shared" si="28"/>
        <v>8.0241956228618988E-2</v>
      </c>
      <c r="G319">
        <f t="shared" si="26"/>
        <v>12.462308335939364</v>
      </c>
      <c r="H319">
        <f t="shared" si="27"/>
        <v>-2.1912384420578399</v>
      </c>
    </row>
    <row r="320" spans="1:8" x14ac:dyDescent="0.2">
      <c r="A320" s="1">
        <v>40640</v>
      </c>
      <c r="B320">
        <v>288.91754859999998</v>
      </c>
      <c r="C320" s="2">
        <f t="shared" si="25"/>
        <v>1.0136108545034194E-2</v>
      </c>
      <c r="D320">
        <v>0.13327471007852332</v>
      </c>
      <c r="E320" s="15">
        <v>0</v>
      </c>
      <c r="F320">
        <f t="shared" si="28"/>
        <v>20.174712515931745</v>
      </c>
      <c r="G320">
        <f t="shared" si="26"/>
        <v>0</v>
      </c>
      <c r="H320" t="e">
        <f t="shared" si="27"/>
        <v>#NUM!</v>
      </c>
    </row>
    <row r="321" spans="1:8" x14ac:dyDescent="0.2">
      <c r="A321" s="1">
        <v>40641</v>
      </c>
      <c r="B321">
        <v>288.00098209999999</v>
      </c>
      <c r="C321" s="2">
        <f t="shared" si="25"/>
        <v>-3.1724154674624971E-3</v>
      </c>
      <c r="D321">
        <v>-1.3129815997300762</v>
      </c>
      <c r="E321" s="15">
        <v>0</v>
      </c>
      <c r="F321">
        <f t="shared" si="28"/>
        <v>1.7313838067931073</v>
      </c>
      <c r="G321">
        <f t="shared" si="26"/>
        <v>0</v>
      </c>
      <c r="H321" t="e">
        <f t="shared" si="27"/>
        <v>#NUM!</v>
      </c>
    </row>
    <row r="322" spans="1:8" x14ac:dyDescent="0.2">
      <c r="A322" s="1">
        <v>40644</v>
      </c>
      <c r="B322">
        <v>287.60745709999998</v>
      </c>
      <c r="C322" s="2">
        <f t="shared" si="25"/>
        <v>-1.3664015904757258E-3</v>
      </c>
      <c r="D322">
        <v>-0.56928668250105907</v>
      </c>
      <c r="E322" s="15">
        <v>1</v>
      </c>
      <c r="F322">
        <f t="shared" si="28"/>
        <v>0.15130060152163088</v>
      </c>
      <c r="G322">
        <f t="shared" si="26"/>
        <v>6.6093590504135156</v>
      </c>
      <c r="H322">
        <f t="shared" si="27"/>
        <v>-1.6408427285261782</v>
      </c>
    </row>
    <row r="323" spans="1:8" x14ac:dyDescent="0.2">
      <c r="A323" s="1">
        <v>40645</v>
      </c>
      <c r="B323">
        <v>284.24008090000001</v>
      </c>
      <c r="C323" s="2">
        <f t="shared" si="25"/>
        <v>-1.1708236754199122E-2</v>
      </c>
      <c r="D323">
        <v>7.5686644657101043</v>
      </c>
      <c r="E323" s="15">
        <v>0</v>
      </c>
      <c r="F323">
        <f t="shared" si="28"/>
        <v>5.6876816135655845</v>
      </c>
      <c r="G323">
        <f t="shared" si="26"/>
        <v>0</v>
      </c>
      <c r="H323" t="e">
        <f t="shared" si="27"/>
        <v>#NUM!</v>
      </c>
    </row>
    <row r="324" spans="1:8" x14ac:dyDescent="0.2">
      <c r="A324" s="1">
        <v>40646</v>
      </c>
      <c r="B324">
        <v>287.06451820000001</v>
      </c>
      <c r="C324" s="2">
        <f t="shared" ref="C324:C387" si="29">(B324-B323)/B323</f>
        <v>9.9368016328199669E-3</v>
      </c>
      <c r="D324">
        <v>-1.8487018021100543</v>
      </c>
      <c r="E324" s="15">
        <v>0</v>
      </c>
      <c r="F324">
        <f t="shared" si="28"/>
        <v>0.49024590896150044</v>
      </c>
      <c r="G324">
        <f t="shared" si="26"/>
        <v>0</v>
      </c>
      <c r="H324" t="e">
        <f t="shared" si="27"/>
        <v>#NUM!</v>
      </c>
    </row>
    <row r="325" spans="1:8" x14ac:dyDescent="0.2">
      <c r="A325" s="1">
        <v>40647</v>
      </c>
      <c r="B325">
        <v>288.1753291</v>
      </c>
      <c r="C325" s="2">
        <f t="shared" si="29"/>
        <v>3.8695513711174837E-3</v>
      </c>
      <c r="D325">
        <v>-0.61058381619123225</v>
      </c>
      <c r="E325" s="15">
        <v>0</v>
      </c>
      <c r="F325">
        <f t="shared" si="28"/>
        <v>4.4969408345100575E-2</v>
      </c>
      <c r="G325">
        <f t="shared" si="26"/>
        <v>0</v>
      </c>
      <c r="H325" t="e">
        <f t="shared" si="27"/>
        <v>#NUM!</v>
      </c>
    </row>
    <row r="326" spans="1:8" x14ac:dyDescent="0.2">
      <c r="A326" s="1">
        <v>40648</v>
      </c>
      <c r="B326">
        <v>264.35958440000002</v>
      </c>
      <c r="C326" s="2">
        <f t="shared" si="29"/>
        <v>-8.2643246298629736E-2</v>
      </c>
      <c r="D326">
        <v>-22.357319847329816</v>
      </c>
      <c r="E326" s="15">
        <v>0</v>
      </c>
      <c r="F326">
        <f t="shared" si="28"/>
        <v>6.8215267223321208E-3</v>
      </c>
      <c r="G326">
        <f t="shared" si="26"/>
        <v>0</v>
      </c>
      <c r="H326" t="e">
        <f t="shared" si="27"/>
        <v>#NUM!</v>
      </c>
    </row>
    <row r="327" spans="1:8" x14ac:dyDescent="0.2">
      <c r="A327" s="1">
        <v>40651</v>
      </c>
      <c r="B327">
        <v>262.43675960000002</v>
      </c>
      <c r="C327" s="2">
        <f t="shared" si="29"/>
        <v>-7.2735202862574963E-3</v>
      </c>
      <c r="D327">
        <v>-0.91198893301002748</v>
      </c>
      <c r="E327" s="15">
        <v>1</v>
      </c>
      <c r="F327">
        <f t="shared" si="28"/>
        <v>3.5533082776348915E-3</v>
      </c>
      <c r="G327">
        <f t="shared" si="26"/>
        <v>281.42787562063359</v>
      </c>
      <c r="H327">
        <f t="shared" si="27"/>
        <v>-4.8987342249399255</v>
      </c>
    </row>
    <row r="328" spans="1:8" x14ac:dyDescent="0.2">
      <c r="A328" s="1">
        <v>40652</v>
      </c>
      <c r="B328">
        <v>259.7916745</v>
      </c>
      <c r="C328" s="2">
        <f t="shared" si="29"/>
        <v>-1.0078942843340979E-2</v>
      </c>
      <c r="D328">
        <v>0.38570354473115515</v>
      </c>
      <c r="E328" s="15">
        <v>0</v>
      </c>
      <c r="F328">
        <f t="shared" si="28"/>
        <v>10283.306633475338</v>
      </c>
      <c r="G328">
        <f t="shared" ref="G328:G391" si="30">E328/F328</f>
        <v>0</v>
      </c>
      <c r="H328" t="e">
        <f t="shared" ref="H328:H391" si="31">-LOG(G328^2)-(F328^2)/(G328^2)</f>
        <v>#NUM!</v>
      </c>
    </row>
    <row r="329" spans="1:8" x14ac:dyDescent="0.2">
      <c r="A329" s="1">
        <v>40653</v>
      </c>
      <c r="B329">
        <v>261.88384159999998</v>
      </c>
      <c r="C329" s="2">
        <f t="shared" si="29"/>
        <v>8.0532492198859256E-3</v>
      </c>
      <c r="D329">
        <v>-1.7990172526086501</v>
      </c>
      <c r="E329" s="15">
        <v>0</v>
      </c>
      <c r="F329">
        <f t="shared" ref="F329:F392" si="32" xml:space="preserve"> $K$5 + $K$6 * G328 ^ 2 + $K$7 * F328</f>
        <v>880.99795425826733</v>
      </c>
      <c r="G329">
        <f t="shared" si="30"/>
        <v>0</v>
      </c>
      <c r="H329" t="e">
        <f t="shared" si="31"/>
        <v>#NUM!</v>
      </c>
    </row>
    <row r="330" spans="1:8" x14ac:dyDescent="0.2">
      <c r="A330" s="1">
        <v>40654</v>
      </c>
      <c r="B330">
        <v>261.57002879999999</v>
      </c>
      <c r="C330" s="2">
        <f t="shared" si="29"/>
        <v>-1.1982900437183513E-3</v>
      </c>
      <c r="D330">
        <v>-1.1487958476138311</v>
      </c>
      <c r="E330" s="15">
        <v>0</v>
      </c>
      <c r="F330">
        <f t="shared" si="32"/>
        <v>75.480128864427385</v>
      </c>
      <c r="G330">
        <f t="shared" si="30"/>
        <v>0</v>
      </c>
      <c r="H330" t="e">
        <f t="shared" si="31"/>
        <v>#NUM!</v>
      </c>
    </row>
    <row r="331" spans="1:8" x14ac:dyDescent="0.2">
      <c r="A331" s="1">
        <v>40658</v>
      </c>
      <c r="B331">
        <v>261.54512620000003</v>
      </c>
      <c r="C331" s="2">
        <f t="shared" si="29"/>
        <v>-9.5204332523136893E-5</v>
      </c>
      <c r="D331">
        <v>-0.92054984265102191</v>
      </c>
      <c r="E331" s="15">
        <v>0</v>
      </c>
      <c r="F331">
        <f t="shared" si="32"/>
        <v>6.4695284720510831</v>
      </c>
      <c r="G331">
        <f t="shared" si="30"/>
        <v>0</v>
      </c>
      <c r="H331" t="e">
        <f t="shared" si="31"/>
        <v>#NUM!</v>
      </c>
    </row>
    <row r="332" spans="1:8" x14ac:dyDescent="0.2">
      <c r="A332" s="1">
        <v>40659</v>
      </c>
      <c r="B332">
        <v>265.41561610000002</v>
      </c>
      <c r="C332" s="2">
        <f t="shared" si="29"/>
        <v>1.4798554865978593E-2</v>
      </c>
      <c r="D332">
        <v>-156.43993087060608</v>
      </c>
      <c r="E332" s="15">
        <v>0</v>
      </c>
      <c r="F332">
        <f t="shared" si="32"/>
        <v>0.55722856212947602</v>
      </c>
      <c r="G332">
        <f t="shared" si="30"/>
        <v>0</v>
      </c>
      <c r="H332" t="e">
        <f t="shared" si="31"/>
        <v>#NUM!</v>
      </c>
    </row>
    <row r="333" spans="1:8" x14ac:dyDescent="0.2">
      <c r="A333" s="1">
        <v>40660</v>
      </c>
      <c r="B333">
        <v>267.87640549999998</v>
      </c>
      <c r="C333" s="2">
        <f t="shared" si="29"/>
        <v>9.2714567294819895E-3</v>
      </c>
      <c r="D333">
        <v>-0.37348904582590198</v>
      </c>
      <c r="E333" s="15">
        <v>0</v>
      </c>
      <c r="F333">
        <f t="shared" si="32"/>
        <v>5.0707969262403958E-2</v>
      </c>
      <c r="G333">
        <f t="shared" si="30"/>
        <v>0</v>
      </c>
      <c r="H333" t="e">
        <f t="shared" si="31"/>
        <v>#NUM!</v>
      </c>
    </row>
    <row r="334" spans="1:8" x14ac:dyDescent="0.2">
      <c r="A334" s="1">
        <v>40661</v>
      </c>
      <c r="B334">
        <v>267.98098950000002</v>
      </c>
      <c r="C334" s="2">
        <f t="shared" si="29"/>
        <v>3.9041885680389017E-4</v>
      </c>
      <c r="D334">
        <v>-0.95789023578544996</v>
      </c>
      <c r="E334" s="15">
        <v>1</v>
      </c>
      <c r="F334">
        <f t="shared" si="32"/>
        <v>7.3131626884235055E-3</v>
      </c>
      <c r="G334">
        <f t="shared" si="30"/>
        <v>136.73974484158092</v>
      </c>
      <c r="H334">
        <f t="shared" si="31"/>
        <v>-4.2717895331898506</v>
      </c>
    </row>
    <row r="335" spans="1:8" x14ac:dyDescent="0.2">
      <c r="A335" s="1">
        <v>40662</v>
      </c>
      <c r="B335">
        <v>271.03455300000002</v>
      </c>
      <c r="C335" s="2">
        <f t="shared" si="29"/>
        <v>1.1394701936496863E-2</v>
      </c>
      <c r="D335">
        <v>28.185839100544502</v>
      </c>
      <c r="E335" s="15">
        <v>0</v>
      </c>
      <c r="F335">
        <f t="shared" si="32"/>
        <v>2427.6641026357474</v>
      </c>
      <c r="G335">
        <f t="shared" si="30"/>
        <v>0</v>
      </c>
      <c r="H335" t="e">
        <f t="shared" si="31"/>
        <v>#NUM!</v>
      </c>
    </row>
    <row r="336" spans="1:8" x14ac:dyDescent="0.2">
      <c r="A336" s="1">
        <v>40665</v>
      </c>
      <c r="B336">
        <v>268.2749048</v>
      </c>
      <c r="C336" s="2">
        <f t="shared" si="29"/>
        <v>-1.0181905478302668E-2</v>
      </c>
      <c r="D336">
        <v>-1.8935648808583885</v>
      </c>
      <c r="E336" s="15">
        <v>0</v>
      </c>
      <c r="F336">
        <f t="shared" si="32"/>
        <v>207.98664348303032</v>
      </c>
      <c r="G336">
        <f t="shared" si="30"/>
        <v>0</v>
      </c>
      <c r="H336" t="e">
        <f t="shared" si="31"/>
        <v>#NUM!</v>
      </c>
    </row>
    <row r="337" spans="1:8" x14ac:dyDescent="0.2">
      <c r="A337" s="1">
        <v>40666</v>
      </c>
      <c r="B337">
        <v>265.94860679999999</v>
      </c>
      <c r="C337" s="2">
        <f t="shared" si="29"/>
        <v>-8.671321686738731E-3</v>
      </c>
      <c r="D337">
        <v>-0.1483596360998386</v>
      </c>
      <c r="E337" s="15">
        <v>0</v>
      </c>
      <c r="F337">
        <f t="shared" si="32"/>
        <v>17.821672200540331</v>
      </c>
      <c r="G337">
        <f t="shared" si="30"/>
        <v>0</v>
      </c>
      <c r="H337" t="e">
        <f t="shared" si="31"/>
        <v>#NUM!</v>
      </c>
    </row>
    <row r="338" spans="1:8" x14ac:dyDescent="0.2">
      <c r="A338" s="1">
        <v>40667</v>
      </c>
      <c r="B338">
        <v>266.8950802</v>
      </c>
      <c r="C338" s="2">
        <f t="shared" si="29"/>
        <v>3.5588582748687751E-3</v>
      </c>
      <c r="D338">
        <v>-1.4104170509913645</v>
      </c>
      <c r="E338" s="15">
        <v>0</v>
      </c>
      <c r="F338">
        <f t="shared" si="32"/>
        <v>1.5297933269881028</v>
      </c>
      <c r="G338">
        <f t="shared" si="30"/>
        <v>0</v>
      </c>
      <c r="H338" t="e">
        <f t="shared" si="31"/>
        <v>#NUM!</v>
      </c>
    </row>
    <row r="339" spans="1:8" x14ac:dyDescent="0.2">
      <c r="A339" s="1">
        <v>40668</v>
      </c>
      <c r="B339">
        <v>266.13790729999999</v>
      </c>
      <c r="C339" s="2">
        <f t="shared" si="29"/>
        <v>-2.8369683676169933E-3</v>
      </c>
      <c r="D339">
        <v>-1.79715688248968</v>
      </c>
      <c r="E339" s="15">
        <v>0</v>
      </c>
      <c r="F339">
        <f t="shared" si="32"/>
        <v>0.13402987254933449</v>
      </c>
      <c r="G339">
        <f t="shared" si="30"/>
        <v>0</v>
      </c>
      <c r="H339" t="e">
        <f t="shared" si="31"/>
        <v>#NUM!</v>
      </c>
    </row>
    <row r="340" spans="1:8" x14ac:dyDescent="0.2">
      <c r="A340" s="1">
        <v>40669</v>
      </c>
      <c r="B340">
        <v>266.65100059999997</v>
      </c>
      <c r="C340" s="2">
        <f t="shared" si="29"/>
        <v>1.9279226518513321E-3</v>
      </c>
      <c r="D340">
        <v>-1.6795714304952774</v>
      </c>
      <c r="E340" s="15">
        <v>1</v>
      </c>
      <c r="F340">
        <f t="shared" si="32"/>
        <v>1.4451545465806747E-2</v>
      </c>
      <c r="G340">
        <f t="shared" si="30"/>
        <v>69.196751473125275</v>
      </c>
      <c r="H340">
        <f t="shared" si="31"/>
        <v>-3.680171456507193</v>
      </c>
    </row>
    <row r="341" spans="1:8" x14ac:dyDescent="0.2">
      <c r="A341" s="1">
        <v>40672</v>
      </c>
      <c r="B341">
        <v>267.83654940000002</v>
      </c>
      <c r="C341" s="2">
        <f t="shared" si="29"/>
        <v>4.4460691965618271E-3</v>
      </c>
      <c r="D341">
        <v>1.3061450065397524</v>
      </c>
      <c r="E341" s="15">
        <v>1</v>
      </c>
      <c r="F341">
        <f t="shared" si="32"/>
        <v>621.6884154615185</v>
      </c>
      <c r="G341">
        <f t="shared" si="30"/>
        <v>1.6085228148535419E-3</v>
      </c>
      <c r="H341">
        <f t="shared" si="31"/>
        <v>-149379533622.19009</v>
      </c>
    </row>
    <row r="342" spans="1:8" x14ac:dyDescent="0.2">
      <c r="A342" s="1">
        <v>40673</v>
      </c>
      <c r="B342">
        <v>270.3172361</v>
      </c>
      <c r="C342" s="2">
        <f t="shared" si="29"/>
        <v>9.261942425547013E-3</v>
      </c>
      <c r="D342">
        <v>1.0831755008917383</v>
      </c>
      <c r="E342" s="15">
        <v>0</v>
      </c>
      <c r="F342">
        <f t="shared" si="32"/>
        <v>53.264473139509974</v>
      </c>
      <c r="G342">
        <f t="shared" si="30"/>
        <v>0</v>
      </c>
      <c r="H342" t="e">
        <f t="shared" si="31"/>
        <v>#NUM!</v>
      </c>
    </row>
    <row r="343" spans="1:8" x14ac:dyDescent="0.2">
      <c r="A343" s="1">
        <v>40674</v>
      </c>
      <c r="B343">
        <v>266.72570760000002</v>
      </c>
      <c r="C343" s="2">
        <f t="shared" si="29"/>
        <v>-1.3286346634113063E-2</v>
      </c>
      <c r="D343">
        <v>-2.4345097414410204</v>
      </c>
      <c r="E343" s="15">
        <v>0</v>
      </c>
      <c r="F343">
        <f t="shared" si="32"/>
        <v>4.566261168267582</v>
      </c>
      <c r="G343">
        <f t="shared" si="30"/>
        <v>0</v>
      </c>
      <c r="H343" t="e">
        <f t="shared" si="31"/>
        <v>#NUM!</v>
      </c>
    </row>
    <row r="344" spans="1:8" x14ac:dyDescent="0.2">
      <c r="A344" s="1">
        <v>40675</v>
      </c>
      <c r="B344">
        <v>266.52645790000003</v>
      </c>
      <c r="C344" s="2">
        <f t="shared" si="29"/>
        <v>-7.4702098194000905E-4</v>
      </c>
      <c r="D344">
        <v>-0.9437752903403851</v>
      </c>
      <c r="E344" s="15">
        <v>1</v>
      </c>
      <c r="F344">
        <f t="shared" si="32"/>
        <v>0.39417119058458172</v>
      </c>
      <c r="G344">
        <f t="shared" si="30"/>
        <v>2.5369687686127809</v>
      </c>
      <c r="H344">
        <f t="shared" si="31"/>
        <v>-0.83277036684160344</v>
      </c>
    </row>
    <row r="345" spans="1:8" x14ac:dyDescent="0.2">
      <c r="A345" s="1">
        <v>40676</v>
      </c>
      <c r="B345">
        <v>263.78670720000002</v>
      </c>
      <c r="C345" s="2">
        <f t="shared" si="29"/>
        <v>-1.0279469894234472E-2</v>
      </c>
      <c r="D345">
        <v>12.760617362498641</v>
      </c>
      <c r="E345" s="15">
        <v>1</v>
      </c>
      <c r="F345">
        <f t="shared" si="32"/>
        <v>0.87239663437975223</v>
      </c>
      <c r="G345">
        <f t="shared" si="30"/>
        <v>1.1462676041969946</v>
      </c>
      <c r="H345">
        <f t="shared" si="31"/>
        <v>-0.69780854391435565</v>
      </c>
    </row>
    <row r="346" spans="1:8" x14ac:dyDescent="0.2">
      <c r="A346" s="1">
        <v>40679</v>
      </c>
      <c r="B346">
        <v>258.24247780000002</v>
      </c>
      <c r="C346" s="2">
        <f t="shared" si="29"/>
        <v>-2.1017849833488523E-2</v>
      </c>
      <c r="D346">
        <v>1.0446433570739839</v>
      </c>
      <c r="E346" s="15">
        <v>0</v>
      </c>
      <c r="F346">
        <f t="shared" si="32"/>
        <v>0.24830579167860189</v>
      </c>
      <c r="G346">
        <f t="shared" si="30"/>
        <v>0</v>
      </c>
      <c r="H346" t="e">
        <f t="shared" si="31"/>
        <v>#NUM!</v>
      </c>
    </row>
    <row r="347" spans="1:8" x14ac:dyDescent="0.2">
      <c r="A347" s="1">
        <v>40680</v>
      </c>
      <c r="B347">
        <v>264.24001600000003</v>
      </c>
      <c r="C347" s="2">
        <f t="shared" si="29"/>
        <v>2.3224444913531601E-2</v>
      </c>
      <c r="D347">
        <v>-2.1049867183144122</v>
      </c>
      <c r="E347" s="15">
        <v>0</v>
      </c>
      <c r="F347">
        <f t="shared" si="32"/>
        <v>2.424183134265321E-2</v>
      </c>
      <c r="G347">
        <f t="shared" si="30"/>
        <v>0</v>
      </c>
      <c r="H347" t="e">
        <f t="shared" si="31"/>
        <v>#NUM!</v>
      </c>
    </row>
    <row r="348" spans="1:8" x14ac:dyDescent="0.2">
      <c r="A348" s="1">
        <v>40681</v>
      </c>
      <c r="B348">
        <v>263.91622419999999</v>
      </c>
      <c r="C348" s="2">
        <f t="shared" si="29"/>
        <v>-1.2253700438772214E-3</v>
      </c>
      <c r="D348">
        <v>-1.0527620810072953</v>
      </c>
      <c r="E348" s="15">
        <v>0</v>
      </c>
      <c r="F348">
        <f t="shared" si="32"/>
        <v>5.0457466110493798E-3</v>
      </c>
      <c r="G348">
        <f t="shared" si="30"/>
        <v>0</v>
      </c>
      <c r="H348" t="e">
        <f t="shared" si="31"/>
        <v>#NUM!</v>
      </c>
    </row>
    <row r="349" spans="1:8" x14ac:dyDescent="0.2">
      <c r="A349" s="1">
        <v>40682</v>
      </c>
      <c r="B349">
        <v>264.63354099999998</v>
      </c>
      <c r="C349" s="2">
        <f t="shared" si="29"/>
        <v>2.717971591835133E-3</v>
      </c>
      <c r="D349">
        <v>-3.2180822890325742</v>
      </c>
      <c r="E349" s="15">
        <v>0</v>
      </c>
      <c r="F349">
        <f t="shared" si="32"/>
        <v>3.4011730327263806E-3</v>
      </c>
      <c r="G349">
        <f t="shared" si="30"/>
        <v>0</v>
      </c>
      <c r="H349" t="e">
        <f t="shared" si="31"/>
        <v>#NUM!</v>
      </c>
    </row>
    <row r="350" spans="1:8" x14ac:dyDescent="0.2">
      <c r="A350" s="1">
        <v>40683</v>
      </c>
      <c r="B350">
        <v>261.0370077</v>
      </c>
      <c r="C350" s="2">
        <f t="shared" si="29"/>
        <v>-1.3590617751662766E-2</v>
      </c>
      <c r="D350">
        <v>-6.0002795439398202</v>
      </c>
      <c r="E350" s="15">
        <v>0</v>
      </c>
      <c r="F350">
        <f t="shared" si="32"/>
        <v>3.2602785590702343E-3</v>
      </c>
      <c r="G350">
        <f t="shared" si="30"/>
        <v>0</v>
      </c>
      <c r="H350" t="e">
        <f t="shared" si="31"/>
        <v>#NUM!</v>
      </c>
    </row>
    <row r="351" spans="1:8" x14ac:dyDescent="0.2">
      <c r="A351" s="1">
        <v>40686</v>
      </c>
      <c r="B351">
        <v>258.22755469999998</v>
      </c>
      <c r="C351" s="2">
        <f t="shared" si="29"/>
        <v>-1.0762661680633489E-2</v>
      </c>
      <c r="D351">
        <v>-0.20808149583070179</v>
      </c>
      <c r="E351" s="15">
        <v>0</v>
      </c>
      <c r="F351">
        <f t="shared" si="32"/>
        <v>3.2482077992279867E-3</v>
      </c>
      <c r="G351">
        <f t="shared" si="30"/>
        <v>0</v>
      </c>
      <c r="H351" t="e">
        <f t="shared" si="31"/>
        <v>#NUM!</v>
      </c>
    </row>
    <row r="352" spans="1:8" x14ac:dyDescent="0.2">
      <c r="A352" s="1">
        <v>40687</v>
      </c>
      <c r="B352">
        <v>258.16279600000001</v>
      </c>
      <c r="C352" s="2">
        <f t="shared" si="29"/>
        <v>-2.5078152513663681E-4</v>
      </c>
      <c r="D352">
        <v>-0.97669893074982583</v>
      </c>
      <c r="E352" s="15">
        <v>0</v>
      </c>
      <c r="F352">
        <f t="shared" si="32"/>
        <v>3.2471736689360861E-3</v>
      </c>
      <c r="G352">
        <f t="shared" si="30"/>
        <v>0</v>
      </c>
      <c r="H352" t="e">
        <f t="shared" si="31"/>
        <v>#NUM!</v>
      </c>
    </row>
    <row r="353" spans="1:8" x14ac:dyDescent="0.2">
      <c r="A353" s="1">
        <v>40688</v>
      </c>
      <c r="B353">
        <v>258.86515930000002</v>
      </c>
      <c r="C353" s="2">
        <f t="shared" si="29"/>
        <v>2.720621680902471E-3</v>
      </c>
      <c r="D353">
        <v>-11.848572993645192</v>
      </c>
      <c r="E353" s="15">
        <v>0</v>
      </c>
      <c r="F353">
        <f t="shared" si="32"/>
        <v>3.247085072569776E-3</v>
      </c>
      <c r="G353">
        <f t="shared" si="30"/>
        <v>0</v>
      </c>
      <c r="H353" t="e">
        <f t="shared" si="31"/>
        <v>#NUM!</v>
      </c>
    </row>
    <row r="354" spans="1:8" x14ac:dyDescent="0.2">
      <c r="A354" s="1">
        <v>40689</v>
      </c>
      <c r="B354">
        <v>258.09803770000002</v>
      </c>
      <c r="C354" s="2">
        <f t="shared" si="29"/>
        <v>-2.9634022673208607E-3</v>
      </c>
      <c r="D354">
        <v>-2.0892371725633883</v>
      </c>
      <c r="E354" s="15">
        <v>0</v>
      </c>
      <c r="F354">
        <f t="shared" si="32"/>
        <v>3.2470774823113867E-3</v>
      </c>
      <c r="G354">
        <f t="shared" si="30"/>
        <v>0</v>
      </c>
      <c r="H354" t="e">
        <f t="shared" si="31"/>
        <v>#NUM!</v>
      </c>
    </row>
    <row r="355" spans="1:8" x14ac:dyDescent="0.2">
      <c r="A355" s="1">
        <v>40690</v>
      </c>
      <c r="B355">
        <v>259.47786180000003</v>
      </c>
      <c r="C355" s="2">
        <f t="shared" si="29"/>
        <v>5.3461239469160347E-3</v>
      </c>
      <c r="D355">
        <v>-2.804049354308328</v>
      </c>
      <c r="E355" s="15">
        <v>1</v>
      </c>
      <c r="F355">
        <f t="shared" si="32"/>
        <v>3.2470768320361576E-3</v>
      </c>
      <c r="G355">
        <f t="shared" si="30"/>
        <v>307.96930646477063</v>
      </c>
      <c r="H355">
        <f t="shared" si="31"/>
        <v>-4.977014870143079</v>
      </c>
    </row>
    <row r="356" spans="1:8" x14ac:dyDescent="0.2">
      <c r="A356" s="1">
        <v>40694</v>
      </c>
      <c r="B356">
        <v>263.52269919999998</v>
      </c>
      <c r="C356" s="2">
        <f t="shared" si="29"/>
        <v>1.5588371863175066E-2</v>
      </c>
      <c r="D356">
        <v>1.9158268715725111</v>
      </c>
      <c r="E356" s="15">
        <v>0</v>
      </c>
      <c r="F356">
        <f t="shared" si="32"/>
        <v>12314.404287129069</v>
      </c>
      <c r="G356">
        <f t="shared" si="30"/>
        <v>0</v>
      </c>
      <c r="H356" t="e">
        <f t="shared" si="31"/>
        <v>#NUM!</v>
      </c>
    </row>
    <row r="357" spans="1:8" x14ac:dyDescent="0.2">
      <c r="A357" s="1">
        <v>40695</v>
      </c>
      <c r="B357">
        <v>261.81908279999999</v>
      </c>
      <c r="C357" s="2">
        <f t="shared" si="29"/>
        <v>-6.4647804730742801E-3</v>
      </c>
      <c r="D357">
        <v>-1.4147181328376088</v>
      </c>
      <c r="E357" s="15">
        <v>0</v>
      </c>
      <c r="F357">
        <f t="shared" si="32"/>
        <v>1055.0068515358157</v>
      </c>
      <c r="G357">
        <f t="shared" si="30"/>
        <v>0</v>
      </c>
      <c r="H357" t="e">
        <f t="shared" si="31"/>
        <v>#NUM!</v>
      </c>
    </row>
    <row r="358" spans="1:8" x14ac:dyDescent="0.2">
      <c r="A358" s="1">
        <v>40696</v>
      </c>
      <c r="B358">
        <v>263.04448769999999</v>
      </c>
      <c r="C358" s="2">
        <f t="shared" si="29"/>
        <v>4.6803498312461469E-3</v>
      </c>
      <c r="D358">
        <v>-1.7239766068994513</v>
      </c>
      <c r="E358" s="15">
        <v>0</v>
      </c>
      <c r="F358">
        <f t="shared" si="32"/>
        <v>90.387879004987823</v>
      </c>
      <c r="G358">
        <f t="shared" si="30"/>
        <v>0</v>
      </c>
      <c r="H358" t="e">
        <f t="shared" si="31"/>
        <v>#NUM!</v>
      </c>
    </row>
    <row r="359" spans="1:8" x14ac:dyDescent="0.2">
      <c r="A359" s="1">
        <v>40697</v>
      </c>
      <c r="B359">
        <v>260.56380139999999</v>
      </c>
      <c r="C359" s="2">
        <f t="shared" si="29"/>
        <v>-9.4306720573791459E-3</v>
      </c>
      <c r="D359">
        <v>-3.014950248893729</v>
      </c>
      <c r="E359" s="15">
        <v>0</v>
      </c>
      <c r="F359">
        <f t="shared" si="32"/>
        <v>7.7467103732667422</v>
      </c>
      <c r="G359">
        <f t="shared" si="30"/>
        <v>0</v>
      </c>
      <c r="H359" t="e">
        <f t="shared" si="31"/>
        <v>#NUM!</v>
      </c>
    </row>
    <row r="360" spans="1:8" x14ac:dyDescent="0.2">
      <c r="A360" s="1">
        <v>40700</v>
      </c>
      <c r="B360">
        <v>259.55757399999999</v>
      </c>
      <c r="C360" s="2">
        <f t="shared" si="29"/>
        <v>-3.8617313479216084E-3</v>
      </c>
      <c r="D360">
        <v>-0.59051366388040727</v>
      </c>
      <c r="E360" s="15">
        <v>1</v>
      </c>
      <c r="F360">
        <f t="shared" si="32"/>
        <v>0.66664772957009188</v>
      </c>
      <c r="G360">
        <f t="shared" si="30"/>
        <v>1.5000426096776487</v>
      </c>
      <c r="H360">
        <f t="shared" si="31"/>
        <v>-0.54971561247893497</v>
      </c>
    </row>
    <row r="361" spans="1:8" x14ac:dyDescent="0.2">
      <c r="A361" s="1">
        <v>40701</v>
      </c>
      <c r="B361">
        <v>258.54634179999999</v>
      </c>
      <c r="C361" s="2">
        <f t="shared" si="29"/>
        <v>-3.8959841718970412E-3</v>
      </c>
      <c r="D361">
        <v>8.8698101678843528E-3</v>
      </c>
      <c r="E361" s="15">
        <v>0</v>
      </c>
      <c r="F361">
        <f t="shared" si="32"/>
        <v>0.35223197994295835</v>
      </c>
      <c r="G361">
        <f t="shared" si="30"/>
        <v>0</v>
      </c>
      <c r="H361" t="e">
        <f t="shared" si="31"/>
        <v>#NUM!</v>
      </c>
    </row>
    <row r="362" spans="1:8" x14ac:dyDescent="0.2">
      <c r="A362" s="1">
        <v>40702</v>
      </c>
      <c r="B362">
        <v>258.61607450000002</v>
      </c>
      <c r="C362" s="2">
        <f t="shared" si="29"/>
        <v>2.6971064264360596E-4</v>
      </c>
      <c r="D362">
        <v>-1.0692278589294879</v>
      </c>
      <c r="E362" s="15">
        <v>0</v>
      </c>
      <c r="F362">
        <f t="shared" si="32"/>
        <v>3.3145431514515052E-2</v>
      </c>
      <c r="G362">
        <f t="shared" si="30"/>
        <v>0</v>
      </c>
      <c r="H362" t="e">
        <f t="shared" si="31"/>
        <v>#NUM!</v>
      </c>
    </row>
    <row r="363" spans="1:8" x14ac:dyDescent="0.2">
      <c r="A363" s="1">
        <v>40703</v>
      </c>
      <c r="B363">
        <v>257.40064869999998</v>
      </c>
      <c r="C363" s="2">
        <f t="shared" si="29"/>
        <v>-4.6997302946072215E-3</v>
      </c>
      <c r="D363">
        <v>-18.425082853765684</v>
      </c>
      <c r="E363" s="15">
        <v>1</v>
      </c>
      <c r="F363">
        <f t="shared" si="32"/>
        <v>5.8085389095480907E-3</v>
      </c>
      <c r="G363">
        <f t="shared" si="30"/>
        <v>172.1603342204005</v>
      </c>
      <c r="H363">
        <f t="shared" si="31"/>
        <v>-4.4718661953322805</v>
      </c>
    </row>
    <row r="364" spans="1:8" x14ac:dyDescent="0.2">
      <c r="A364" s="1">
        <v>40704</v>
      </c>
      <c r="B364">
        <v>253.8041154</v>
      </c>
      <c r="C364" s="2">
        <f t="shared" si="29"/>
        <v>-1.3972510629496235E-2</v>
      </c>
      <c r="D364">
        <v>1.9730452076216394</v>
      </c>
      <c r="E364" s="15">
        <v>0</v>
      </c>
      <c r="F364">
        <f t="shared" si="32"/>
        <v>3848.2653327501839</v>
      </c>
      <c r="G364">
        <f t="shared" si="30"/>
        <v>0</v>
      </c>
      <c r="H364" t="e">
        <f t="shared" si="31"/>
        <v>#NUM!</v>
      </c>
    </row>
    <row r="365" spans="1:8" x14ac:dyDescent="0.2">
      <c r="A365" s="1">
        <v>40707</v>
      </c>
      <c r="B365">
        <v>251.42303870000001</v>
      </c>
      <c r="C365" s="2">
        <f t="shared" si="29"/>
        <v>-9.3815527626389082E-3</v>
      </c>
      <c r="D365">
        <v>-0.32857071922104875</v>
      </c>
      <c r="E365" s="15">
        <v>0</v>
      </c>
      <c r="F365">
        <f t="shared" si="32"/>
        <v>329.6928810332829</v>
      </c>
      <c r="G365">
        <f t="shared" si="30"/>
        <v>0</v>
      </c>
      <c r="H365" t="e">
        <f t="shared" si="31"/>
        <v>#NUM!</v>
      </c>
    </row>
    <row r="366" spans="1:8" x14ac:dyDescent="0.2">
      <c r="A366" s="1">
        <v>40708</v>
      </c>
      <c r="B366">
        <v>253.23624340000001</v>
      </c>
      <c r="C366" s="2">
        <f t="shared" si="29"/>
        <v>7.2117682984634132E-3</v>
      </c>
      <c r="D366">
        <v>-1.7687179810130744</v>
      </c>
      <c r="E366" s="15">
        <v>0</v>
      </c>
      <c r="F366">
        <f t="shared" si="32"/>
        <v>28.248530874628134</v>
      </c>
      <c r="G366">
        <f t="shared" si="30"/>
        <v>0</v>
      </c>
      <c r="H366" t="e">
        <f t="shared" si="31"/>
        <v>#NUM!</v>
      </c>
    </row>
    <row r="367" spans="1:8" x14ac:dyDescent="0.2">
      <c r="A367" s="1">
        <v>40709</v>
      </c>
      <c r="B367">
        <v>250.53636420000001</v>
      </c>
      <c r="C367" s="2">
        <f t="shared" si="29"/>
        <v>-1.0661503913305949E-2</v>
      </c>
      <c r="D367">
        <v>-2.47834809329323</v>
      </c>
      <c r="E367" s="15">
        <v>0</v>
      </c>
      <c r="F367">
        <f t="shared" si="32"/>
        <v>2.4230867521875283</v>
      </c>
      <c r="G367">
        <f t="shared" si="30"/>
        <v>0</v>
      </c>
      <c r="H367" t="e">
        <f t="shared" si="31"/>
        <v>#NUM!</v>
      </c>
    </row>
    <row r="368" spans="1:8" x14ac:dyDescent="0.2">
      <c r="A368" s="1">
        <v>40710</v>
      </c>
      <c r="B368">
        <v>249.2511749</v>
      </c>
      <c r="C368" s="2">
        <f t="shared" si="29"/>
        <v>-5.1297515396769421E-3</v>
      </c>
      <c r="D368">
        <v>-0.51885291405513401</v>
      </c>
      <c r="E368" s="15">
        <v>1</v>
      </c>
      <c r="F368">
        <f t="shared" si="32"/>
        <v>0.21056041434018047</v>
      </c>
      <c r="G368">
        <f t="shared" si="30"/>
        <v>4.7492307760394334</v>
      </c>
      <c r="H368">
        <f t="shared" si="31"/>
        <v>-1.3552122001618767</v>
      </c>
    </row>
    <row r="369" spans="1:8" x14ac:dyDescent="0.2">
      <c r="A369" s="1">
        <v>40711</v>
      </c>
      <c r="B369">
        <v>241.60481480000001</v>
      </c>
      <c r="C369" s="2">
        <f t="shared" si="29"/>
        <v>-3.067732821346866E-2</v>
      </c>
      <c r="D369">
        <v>4.9802756480873605</v>
      </c>
      <c r="E369" s="15">
        <v>0</v>
      </c>
      <c r="F369">
        <f t="shared" si="32"/>
        <v>2.9495063537901585</v>
      </c>
      <c r="G369">
        <f t="shared" si="30"/>
        <v>0</v>
      </c>
      <c r="H369" t="e">
        <f t="shared" si="31"/>
        <v>#NUM!</v>
      </c>
    </row>
    <row r="370" spans="1:8" x14ac:dyDescent="0.2">
      <c r="A370" s="1">
        <v>40714</v>
      </c>
      <c r="B370">
        <v>241.38563740000001</v>
      </c>
      <c r="C370" s="2">
        <f t="shared" si="29"/>
        <v>-9.071731462861833E-4</v>
      </c>
      <c r="D370">
        <v>-0.97042854775443266</v>
      </c>
      <c r="E370" s="15">
        <v>0</v>
      </c>
      <c r="F370">
        <f t="shared" si="32"/>
        <v>0.25566001563969365</v>
      </c>
      <c r="G370">
        <f t="shared" si="30"/>
        <v>0</v>
      </c>
      <c r="H370" t="e">
        <f t="shared" si="31"/>
        <v>#NUM!</v>
      </c>
    </row>
    <row r="371" spans="1:8" x14ac:dyDescent="0.2">
      <c r="A371" s="1">
        <v>40715</v>
      </c>
      <c r="B371">
        <v>245.5799346</v>
      </c>
      <c r="C371" s="2">
        <f t="shared" si="29"/>
        <v>1.7375918655216534E-2</v>
      </c>
      <c r="D371">
        <v>-20.153916456137033</v>
      </c>
      <c r="E371" s="15">
        <v>0</v>
      </c>
      <c r="F371">
        <f t="shared" si="32"/>
        <v>2.4871884949135229E-2</v>
      </c>
      <c r="G371">
        <f t="shared" si="30"/>
        <v>0</v>
      </c>
      <c r="H371" t="e">
        <f t="shared" si="31"/>
        <v>#NUM!</v>
      </c>
    </row>
    <row r="372" spans="1:8" x14ac:dyDescent="0.2">
      <c r="A372" s="1">
        <v>40716</v>
      </c>
      <c r="B372">
        <v>242.59610369999999</v>
      </c>
      <c r="C372" s="2">
        <f t="shared" si="29"/>
        <v>-1.2150141276240959E-2</v>
      </c>
      <c r="D372">
        <v>-1.6992517355387877</v>
      </c>
      <c r="E372" s="15">
        <v>1</v>
      </c>
      <c r="F372">
        <f t="shared" si="32"/>
        <v>5.0997247804852302E-3</v>
      </c>
      <c r="G372">
        <f t="shared" si="30"/>
        <v>196.08901323981874</v>
      </c>
      <c r="H372">
        <f t="shared" si="31"/>
        <v>-4.5849065228106145</v>
      </c>
    </row>
    <row r="373" spans="1:8" x14ac:dyDescent="0.2">
      <c r="A373" s="1">
        <v>40717</v>
      </c>
      <c r="B373">
        <v>239.213774</v>
      </c>
      <c r="C373" s="2">
        <f t="shared" si="29"/>
        <v>-1.3942225981430656E-2</v>
      </c>
      <c r="D373">
        <v>0.14749496853127433</v>
      </c>
      <c r="E373" s="15">
        <v>0</v>
      </c>
      <c r="F373">
        <f t="shared" si="32"/>
        <v>4992.3524885798852</v>
      </c>
      <c r="G373">
        <f t="shared" si="30"/>
        <v>0</v>
      </c>
      <c r="H373" t="e">
        <f t="shared" si="31"/>
        <v>#NUM!</v>
      </c>
    </row>
    <row r="374" spans="1:8" x14ac:dyDescent="0.2">
      <c r="A374" s="1">
        <v>40718</v>
      </c>
      <c r="B374">
        <v>236.55375050000001</v>
      </c>
      <c r="C374" s="2">
        <f t="shared" si="29"/>
        <v>-1.1119859260278191E-2</v>
      </c>
      <c r="D374">
        <v>-0.20243300638732392</v>
      </c>
      <c r="E374" s="15">
        <v>0</v>
      </c>
      <c r="F374">
        <f t="shared" si="32"/>
        <v>427.70950963664251</v>
      </c>
      <c r="G374">
        <f t="shared" si="30"/>
        <v>0</v>
      </c>
      <c r="H374" t="e">
        <f t="shared" si="31"/>
        <v>#NUM!</v>
      </c>
    </row>
    <row r="375" spans="1:8" x14ac:dyDescent="0.2">
      <c r="A375" s="1">
        <v>40721</v>
      </c>
      <c r="B375">
        <v>240.49896279999999</v>
      </c>
      <c r="C375" s="2">
        <f t="shared" si="29"/>
        <v>1.6677868313907711E-2</v>
      </c>
      <c r="D375">
        <v>-2.49982728409914</v>
      </c>
      <c r="E375" s="15">
        <v>1</v>
      </c>
      <c r="F375">
        <f t="shared" si="32"/>
        <v>36.645845217171967</v>
      </c>
      <c r="G375">
        <f t="shared" si="30"/>
        <v>2.7288223100702492E-2</v>
      </c>
      <c r="H375">
        <f t="shared" si="31"/>
        <v>-1803425.5506141253</v>
      </c>
    </row>
    <row r="376" spans="1:8" x14ac:dyDescent="0.2">
      <c r="A376" s="1">
        <v>40722</v>
      </c>
      <c r="B376">
        <v>245.90371149999999</v>
      </c>
      <c r="C376" s="2">
        <f t="shared" si="29"/>
        <v>2.24730644867463E-2</v>
      </c>
      <c r="D376">
        <v>0.34747823065649003</v>
      </c>
      <c r="E376" s="15">
        <v>0</v>
      </c>
      <c r="F376">
        <f t="shared" si="32"/>
        <v>3.1426010395930142</v>
      </c>
      <c r="G376">
        <f t="shared" si="30"/>
        <v>0</v>
      </c>
      <c r="H376" t="e">
        <f t="shared" si="31"/>
        <v>#NUM!</v>
      </c>
    </row>
    <row r="377" spans="1:8" x14ac:dyDescent="0.2">
      <c r="A377" s="1">
        <v>40723</v>
      </c>
      <c r="B377">
        <v>247.85639739999999</v>
      </c>
      <c r="C377" s="2">
        <f t="shared" si="29"/>
        <v>7.9408557442615345E-3</v>
      </c>
      <c r="D377">
        <v>-0.64665007084615767</v>
      </c>
      <c r="E377" s="15">
        <v>1</v>
      </c>
      <c r="F377">
        <f t="shared" si="32"/>
        <v>0.27220289002402787</v>
      </c>
      <c r="G377">
        <f t="shared" si="30"/>
        <v>3.6737302822601485</v>
      </c>
      <c r="H377">
        <f t="shared" si="31"/>
        <v>-1.135704518348595</v>
      </c>
    </row>
    <row r="378" spans="1:8" x14ac:dyDescent="0.2">
      <c r="A378" s="1">
        <v>40724</v>
      </c>
      <c r="B378">
        <v>252.24495450000001</v>
      </c>
      <c r="C378" s="2">
        <f t="shared" si="29"/>
        <v>1.7706047316251416E-2</v>
      </c>
      <c r="D378">
        <v>1.2297404570088941</v>
      </c>
      <c r="E378" s="15">
        <v>1</v>
      </c>
      <c r="F378">
        <f t="shared" si="32"/>
        <v>1.7786073017670327</v>
      </c>
      <c r="G378">
        <f t="shared" si="30"/>
        <v>0.56223765583696172</v>
      </c>
      <c r="H378">
        <f t="shared" si="31"/>
        <v>-9.5072173811128771</v>
      </c>
    </row>
    <row r="379" spans="1:8" x14ac:dyDescent="0.2">
      <c r="A379" s="1">
        <v>40725</v>
      </c>
      <c r="B379">
        <v>259.5426205</v>
      </c>
      <c r="C379" s="2">
        <f t="shared" si="29"/>
        <v>2.8930870052348231E-2</v>
      </c>
      <c r="D379">
        <v>0.63395418161986727</v>
      </c>
      <c r="E379" s="15">
        <v>0</v>
      </c>
      <c r="F379">
        <f t="shared" si="32"/>
        <v>0.19638927188229391</v>
      </c>
      <c r="G379">
        <f t="shared" si="30"/>
        <v>0</v>
      </c>
      <c r="H379" t="e">
        <f t="shared" si="31"/>
        <v>#NUM!</v>
      </c>
    </row>
    <row r="380" spans="1:8" x14ac:dyDescent="0.2">
      <c r="A380" s="1">
        <v>40729</v>
      </c>
      <c r="B380">
        <v>265.22631519999999</v>
      </c>
      <c r="C380" s="2">
        <f t="shared" si="29"/>
        <v>2.1898887701181969E-2</v>
      </c>
      <c r="D380">
        <v>-0.24306155806729696</v>
      </c>
      <c r="E380" s="15">
        <v>0</v>
      </c>
      <c r="F380">
        <f t="shared" si="32"/>
        <v>1.9794021389255619E-2</v>
      </c>
      <c r="G380">
        <f t="shared" si="30"/>
        <v>0</v>
      </c>
      <c r="H380" t="e">
        <f t="shared" si="31"/>
        <v>#NUM!</v>
      </c>
    </row>
    <row r="381" spans="1:8" x14ac:dyDescent="0.2">
      <c r="A381" s="1">
        <v>40730</v>
      </c>
      <c r="B381">
        <v>266.68087709999998</v>
      </c>
      <c r="C381" s="2">
        <f t="shared" si="29"/>
        <v>5.4842291908445877E-3</v>
      </c>
      <c r="D381">
        <v>-0.74956585623531091</v>
      </c>
      <c r="E381" s="15">
        <v>1</v>
      </c>
      <c r="F381">
        <f t="shared" si="32"/>
        <v>4.6646923058078034E-3</v>
      </c>
      <c r="G381">
        <f t="shared" si="30"/>
        <v>214.3764120850895</v>
      </c>
      <c r="H381">
        <f t="shared" si="31"/>
        <v>-4.6623539966115226</v>
      </c>
    </row>
    <row r="382" spans="1:8" x14ac:dyDescent="0.2">
      <c r="A382" s="1">
        <v>40731</v>
      </c>
      <c r="B382">
        <v>272.2798856</v>
      </c>
      <c r="C382" s="2">
        <f t="shared" si="29"/>
        <v>2.0995163061131337E-2</v>
      </c>
      <c r="D382">
        <v>2.8282796598254527</v>
      </c>
      <c r="E382" s="15">
        <v>0</v>
      </c>
      <c r="F382">
        <f t="shared" si="32"/>
        <v>5966.9536496348273</v>
      </c>
      <c r="G382">
        <f t="shared" si="30"/>
        <v>0</v>
      </c>
      <c r="H382" t="e">
        <f t="shared" si="31"/>
        <v>#NUM!</v>
      </c>
    </row>
    <row r="383" spans="1:8" x14ac:dyDescent="0.2">
      <c r="A383" s="1">
        <v>40732</v>
      </c>
      <c r="B383">
        <v>265.00216330000001</v>
      </c>
      <c r="C383" s="2">
        <f t="shared" si="29"/>
        <v>-2.6728828256860387E-2</v>
      </c>
      <c r="D383">
        <v>-2.2730945779765754</v>
      </c>
      <c r="E383" s="15">
        <v>0</v>
      </c>
      <c r="F383">
        <f t="shared" si="32"/>
        <v>511.20587575942125</v>
      </c>
      <c r="G383">
        <f t="shared" si="30"/>
        <v>0</v>
      </c>
      <c r="H383" t="e">
        <f t="shared" si="31"/>
        <v>#NUM!</v>
      </c>
    </row>
    <row r="384" spans="1:8" x14ac:dyDescent="0.2">
      <c r="A384" s="1">
        <v>40735</v>
      </c>
      <c r="B384">
        <v>262.65596799999997</v>
      </c>
      <c r="C384" s="2">
        <f t="shared" si="29"/>
        <v>-8.8534948952246287E-3</v>
      </c>
      <c r="D384">
        <v>-0.66876606747801459</v>
      </c>
      <c r="E384" s="15">
        <v>0</v>
      </c>
      <c r="F384">
        <f t="shared" si="32"/>
        <v>43.799174634677236</v>
      </c>
      <c r="G384">
        <f t="shared" si="30"/>
        <v>0</v>
      </c>
      <c r="H384" t="e">
        <f t="shared" si="31"/>
        <v>#NUM!</v>
      </c>
    </row>
    <row r="385" spans="1:8" x14ac:dyDescent="0.2">
      <c r="A385" s="1">
        <v>40736</v>
      </c>
      <c r="B385">
        <v>266.00839070000001</v>
      </c>
      <c r="C385" s="2">
        <f t="shared" si="29"/>
        <v>1.2763550455476549E-2</v>
      </c>
      <c r="D385">
        <v>-2.4416397825406682</v>
      </c>
      <c r="E385" s="15">
        <v>0</v>
      </c>
      <c r="F385">
        <f t="shared" si="32"/>
        <v>3.7553468568528121</v>
      </c>
      <c r="G385">
        <f t="shared" si="30"/>
        <v>0</v>
      </c>
      <c r="H385" t="e">
        <f t="shared" si="31"/>
        <v>#NUM!</v>
      </c>
    </row>
    <row r="386" spans="1:8" x14ac:dyDescent="0.2">
      <c r="A386" s="1">
        <v>40737</v>
      </c>
      <c r="B386">
        <v>268.12545999999998</v>
      </c>
      <c r="C386" s="2">
        <f t="shared" si="29"/>
        <v>7.9586560951288386E-3</v>
      </c>
      <c r="D386">
        <v>-0.37645437114921576</v>
      </c>
      <c r="E386" s="15">
        <v>0</v>
      </c>
      <c r="F386">
        <f t="shared" si="32"/>
        <v>0.32469826058437662</v>
      </c>
      <c r="G386">
        <f t="shared" si="30"/>
        <v>0</v>
      </c>
      <c r="H386" t="e">
        <f t="shared" si="31"/>
        <v>#NUM!</v>
      </c>
    </row>
    <row r="387" spans="1:8" x14ac:dyDescent="0.2">
      <c r="A387" s="1">
        <v>40738</v>
      </c>
      <c r="B387">
        <v>263.48284310000003</v>
      </c>
      <c r="C387" s="2">
        <f t="shared" si="29"/>
        <v>-1.7315091599283228E-2</v>
      </c>
      <c r="D387">
        <v>-3.1756300802947215</v>
      </c>
      <c r="E387" s="15">
        <v>0</v>
      </c>
      <c r="F387">
        <f t="shared" si="32"/>
        <v>3.0786553232657173E-2</v>
      </c>
      <c r="G387">
        <f t="shared" si="30"/>
        <v>0</v>
      </c>
      <c r="H387" t="e">
        <f t="shared" si="31"/>
        <v>#NUM!</v>
      </c>
    </row>
    <row r="388" spans="1:8" x14ac:dyDescent="0.2">
      <c r="A388" s="1">
        <v>40739</v>
      </c>
      <c r="B388">
        <v>297.69469370000002</v>
      </c>
      <c r="C388" s="2">
        <f t="shared" ref="C388:C451" si="33">(B388-B387)/B387</f>
        <v>0.12984469955417749</v>
      </c>
      <c r="D388">
        <v>-8.4989322932344464</v>
      </c>
      <c r="E388" s="15">
        <v>0</v>
      </c>
      <c r="F388">
        <f t="shared" si="32"/>
        <v>5.6064482774705725E-3</v>
      </c>
      <c r="G388">
        <f t="shared" si="30"/>
        <v>0</v>
      </c>
      <c r="H388" t="e">
        <f t="shared" si="31"/>
        <v>#NUM!</v>
      </c>
    </row>
    <row r="389" spans="1:8" x14ac:dyDescent="0.2">
      <c r="A389" s="1">
        <v>40742</v>
      </c>
      <c r="B389">
        <v>296.35966969999998</v>
      </c>
      <c r="C389" s="2">
        <f t="shared" si="33"/>
        <v>-4.4845408005336996E-3</v>
      </c>
      <c r="D389">
        <v>-1.0345377271150182</v>
      </c>
      <c r="E389" s="15">
        <v>0</v>
      </c>
      <c r="F389">
        <f t="shared" si="32"/>
        <v>3.4492096588827461E-3</v>
      </c>
      <c r="G389">
        <f t="shared" si="30"/>
        <v>0</v>
      </c>
      <c r="H389" t="e">
        <f t="shared" si="31"/>
        <v>#NUM!</v>
      </c>
    </row>
    <row r="390" spans="1:8" x14ac:dyDescent="0.2">
      <c r="A390" s="1">
        <v>40743</v>
      </c>
      <c r="B390">
        <v>300.15047779999998</v>
      </c>
      <c r="C390" s="2">
        <f t="shared" si="33"/>
        <v>1.2791241479778153E-2</v>
      </c>
      <c r="D390">
        <v>-3.8522968234018258</v>
      </c>
      <c r="E390" s="15">
        <v>0</v>
      </c>
      <c r="F390">
        <f t="shared" si="32"/>
        <v>3.2643939694402702E-3</v>
      </c>
      <c r="G390">
        <f t="shared" si="30"/>
        <v>0</v>
      </c>
      <c r="H390" t="e">
        <f t="shared" si="31"/>
        <v>#NUM!</v>
      </c>
    </row>
    <row r="391" spans="1:8" x14ac:dyDescent="0.2">
      <c r="A391" s="1">
        <v>40744</v>
      </c>
      <c r="B391">
        <v>296.56392410000001</v>
      </c>
      <c r="C391" s="2">
        <f t="shared" si="33"/>
        <v>-1.194918537624253E-2</v>
      </c>
      <c r="D391">
        <v>-1.9341693216513158</v>
      </c>
      <c r="E391" s="15">
        <v>0</v>
      </c>
      <c r="F391">
        <f t="shared" si="32"/>
        <v>3.2485603760817119E-3</v>
      </c>
      <c r="G391">
        <f t="shared" si="30"/>
        <v>0</v>
      </c>
      <c r="H391" t="e">
        <f t="shared" si="31"/>
        <v>#NUM!</v>
      </c>
    </row>
    <row r="392" spans="1:8" x14ac:dyDescent="0.2">
      <c r="A392" s="1">
        <v>40745</v>
      </c>
      <c r="B392">
        <v>302.36218229999997</v>
      </c>
      <c r="C392" s="2">
        <f t="shared" si="33"/>
        <v>1.9551461687716331E-2</v>
      </c>
      <c r="D392">
        <v>-2.6362171204230131</v>
      </c>
      <c r="E392" s="15">
        <v>0</v>
      </c>
      <c r="F392">
        <f t="shared" si="32"/>
        <v>3.2472038750216534E-3</v>
      </c>
      <c r="G392">
        <f t="shared" ref="G392:G455" si="34">E392/F392</f>
        <v>0</v>
      </c>
      <c r="H392" t="e">
        <f t="shared" ref="H392:H455" si="35">-LOG(G392^2)-(F392^2)/(G392^2)</f>
        <v>#NUM!</v>
      </c>
    </row>
    <row r="393" spans="1:8" x14ac:dyDescent="0.2">
      <c r="A393" s="1">
        <v>40746</v>
      </c>
      <c r="B393">
        <v>307.96122120000001</v>
      </c>
      <c r="C393" s="2">
        <f t="shared" si="33"/>
        <v>1.8517656068657233E-2</v>
      </c>
      <c r="D393">
        <v>-5.2876129446046007E-2</v>
      </c>
      <c r="E393" s="15">
        <v>0</v>
      </c>
      <c r="F393">
        <f t="shared" ref="F393:F456" si="36" xml:space="preserve"> $K$5 + $K$6 * G392 ^ 2 + $K$7 * F392</f>
        <v>3.247087660395935E-3</v>
      </c>
      <c r="G393">
        <f t="shared" si="34"/>
        <v>0</v>
      </c>
      <c r="H393" t="e">
        <f t="shared" si="35"/>
        <v>#NUM!</v>
      </c>
    </row>
    <row r="394" spans="1:8" x14ac:dyDescent="0.2">
      <c r="A394" s="1">
        <v>40749</v>
      </c>
      <c r="B394">
        <v>308.33481840000002</v>
      </c>
      <c r="C394" s="2">
        <f t="shared" si="33"/>
        <v>1.2131306615302058E-3</v>
      </c>
      <c r="D394">
        <v>-0.93448789322836945</v>
      </c>
      <c r="E394" s="15">
        <v>1</v>
      </c>
      <c r="F394">
        <f t="shared" si="36"/>
        <v>3.2470777040165201E-3</v>
      </c>
      <c r="G394">
        <f t="shared" si="34"/>
        <v>307.96922376173364</v>
      </c>
      <c r="H394">
        <f t="shared" si="35"/>
        <v>-4.9770146368894617</v>
      </c>
    </row>
    <row r="395" spans="1:8" x14ac:dyDescent="0.2">
      <c r="A395" s="1">
        <v>40750</v>
      </c>
      <c r="B395">
        <v>310.09821820000002</v>
      </c>
      <c r="C395" s="2">
        <f t="shared" si="33"/>
        <v>5.7191069407943381E-3</v>
      </c>
      <c r="D395">
        <v>3.7143371461573906</v>
      </c>
      <c r="E395" s="15">
        <v>0</v>
      </c>
      <c r="F395">
        <f t="shared" si="36"/>
        <v>12314.397673234795</v>
      </c>
      <c r="G395">
        <f t="shared" si="34"/>
        <v>0</v>
      </c>
      <c r="H395" t="e">
        <f t="shared" si="35"/>
        <v>#NUM!</v>
      </c>
    </row>
    <row r="396" spans="1:8" x14ac:dyDescent="0.2">
      <c r="A396" s="1">
        <v>40751</v>
      </c>
      <c r="B396">
        <v>302.47677579999998</v>
      </c>
      <c r="C396" s="2">
        <f t="shared" si="33"/>
        <v>-2.4577511100320262E-2</v>
      </c>
      <c r="D396">
        <v>-5.2974386306731036</v>
      </c>
      <c r="E396" s="15">
        <v>0</v>
      </c>
      <c r="F396">
        <f t="shared" si="36"/>
        <v>1055.0062849079889</v>
      </c>
      <c r="G396">
        <f t="shared" si="34"/>
        <v>0</v>
      </c>
      <c r="H396" t="e">
        <f t="shared" si="35"/>
        <v>#NUM!</v>
      </c>
    </row>
    <row r="397" spans="1:8" x14ac:dyDescent="0.2">
      <c r="A397" s="1">
        <v>40752</v>
      </c>
      <c r="B397">
        <v>304.32980670000001</v>
      </c>
      <c r="C397" s="2">
        <f t="shared" si="33"/>
        <v>6.1261923170764692E-3</v>
      </c>
      <c r="D397">
        <v>-1.2492600773150151</v>
      </c>
      <c r="E397" s="15">
        <v>0</v>
      </c>
      <c r="F397">
        <f t="shared" si="36"/>
        <v>90.387830460653603</v>
      </c>
      <c r="G397">
        <f t="shared" si="34"/>
        <v>0</v>
      </c>
      <c r="H397" t="e">
        <f t="shared" si="35"/>
        <v>#NUM!</v>
      </c>
    </row>
    <row r="398" spans="1:8" x14ac:dyDescent="0.2">
      <c r="A398" s="1">
        <v>40753</v>
      </c>
      <c r="B398">
        <v>300.7183503</v>
      </c>
      <c r="C398" s="2">
        <f t="shared" si="33"/>
        <v>-1.1866916484983291E-2</v>
      </c>
      <c r="D398">
        <v>-2.9370786731433207</v>
      </c>
      <c r="E398" s="15">
        <v>0</v>
      </c>
      <c r="F398">
        <f t="shared" si="36"/>
        <v>7.7467062143598326</v>
      </c>
      <c r="G398">
        <f t="shared" si="34"/>
        <v>0</v>
      </c>
      <c r="H398" t="e">
        <f t="shared" si="35"/>
        <v>#NUM!</v>
      </c>
    </row>
    <row r="399" spans="1:8" x14ac:dyDescent="0.2">
      <c r="A399" s="1">
        <v>40756</v>
      </c>
      <c r="B399">
        <v>302.25259360000001</v>
      </c>
      <c r="C399" s="2">
        <f t="shared" si="33"/>
        <v>5.1019277622048531E-3</v>
      </c>
      <c r="D399">
        <v>-1.4299286818661754</v>
      </c>
      <c r="E399" s="15">
        <v>0</v>
      </c>
      <c r="F399">
        <f t="shared" si="36"/>
        <v>0.66664737326678758</v>
      </c>
      <c r="G399">
        <f t="shared" si="34"/>
        <v>0</v>
      </c>
      <c r="H399" t="e">
        <f t="shared" si="35"/>
        <v>#NUM!</v>
      </c>
    </row>
    <row r="400" spans="1:8" x14ac:dyDescent="0.2">
      <c r="A400" s="1">
        <v>40757</v>
      </c>
      <c r="B400">
        <v>295.09440869999997</v>
      </c>
      <c r="C400" s="2">
        <f t="shared" si="33"/>
        <v>-2.3682790657780603E-2</v>
      </c>
      <c r="D400">
        <v>-5.6419298276277106</v>
      </c>
      <c r="E400" s="15">
        <v>0</v>
      </c>
      <c r="F400">
        <f t="shared" si="36"/>
        <v>6.0082135311571132E-2</v>
      </c>
      <c r="G400">
        <f t="shared" si="34"/>
        <v>0</v>
      </c>
      <c r="H400" t="e">
        <f t="shared" si="35"/>
        <v>#NUM!</v>
      </c>
    </row>
    <row r="401" spans="1:8" x14ac:dyDescent="0.2">
      <c r="A401" s="1">
        <v>40758</v>
      </c>
      <c r="B401">
        <v>299.4630684</v>
      </c>
      <c r="C401" s="2">
        <f t="shared" si="33"/>
        <v>1.4804278126602214E-2</v>
      </c>
      <c r="D401">
        <v>-1.625106996068409</v>
      </c>
      <c r="E401" s="15">
        <v>0</v>
      </c>
      <c r="F401">
        <f t="shared" si="36"/>
        <v>8.1162694687291568E-3</v>
      </c>
      <c r="G401">
        <f t="shared" si="34"/>
        <v>0</v>
      </c>
      <c r="H401" t="e">
        <f t="shared" si="35"/>
        <v>#NUM!</v>
      </c>
    </row>
    <row r="402" spans="1:8" x14ac:dyDescent="0.2">
      <c r="A402" s="1">
        <v>40759</v>
      </c>
      <c r="B402">
        <v>287.68219499999998</v>
      </c>
      <c r="C402" s="2">
        <f t="shared" si="33"/>
        <v>-3.9339987608301749E-2</v>
      </c>
      <c r="D402">
        <v>-3.6573391334502587</v>
      </c>
      <c r="E402" s="15">
        <v>0</v>
      </c>
      <c r="F402">
        <f t="shared" si="36"/>
        <v>3.6642319238482418E-3</v>
      </c>
      <c r="G402">
        <f t="shared" si="34"/>
        <v>0</v>
      </c>
      <c r="H402" t="e">
        <f t="shared" si="35"/>
        <v>#NUM!</v>
      </c>
    </row>
    <row r="403" spans="1:8" x14ac:dyDescent="0.2">
      <c r="A403" s="1">
        <v>40760</v>
      </c>
      <c r="B403">
        <v>288.43936789999998</v>
      </c>
      <c r="C403" s="2">
        <f t="shared" si="33"/>
        <v>2.6319769285686957E-3</v>
      </c>
      <c r="D403">
        <v>-1.0669033492022066</v>
      </c>
      <c r="E403" s="15">
        <v>0</v>
      </c>
      <c r="F403">
        <f t="shared" si="36"/>
        <v>3.28281543093399E-3</v>
      </c>
      <c r="G403">
        <f t="shared" si="34"/>
        <v>0</v>
      </c>
      <c r="H403" t="e">
        <f t="shared" si="35"/>
        <v>#NUM!</v>
      </c>
    </row>
    <row r="404" spans="1:8" x14ac:dyDescent="0.2">
      <c r="A404" s="1">
        <v>40763</v>
      </c>
      <c r="B404">
        <v>271.99097560000001</v>
      </c>
      <c r="C404" s="2">
        <f t="shared" si="33"/>
        <v>-5.7025476167672493E-2</v>
      </c>
      <c r="D404">
        <v>-22.666404271516054</v>
      </c>
      <c r="E404" s="15">
        <v>0</v>
      </c>
      <c r="F404">
        <f t="shared" si="36"/>
        <v>3.2501385858713775E-3</v>
      </c>
      <c r="G404">
        <f t="shared" si="34"/>
        <v>0</v>
      </c>
      <c r="H404" t="e">
        <f t="shared" si="35"/>
        <v>#NUM!</v>
      </c>
    </row>
    <row r="405" spans="1:8" x14ac:dyDescent="0.2">
      <c r="A405" s="1">
        <v>40764</v>
      </c>
      <c r="B405">
        <v>285.63485839999998</v>
      </c>
      <c r="C405" s="2">
        <f t="shared" si="33"/>
        <v>5.016299812853045E-2</v>
      </c>
      <c r="D405">
        <v>-1.8796594346890811</v>
      </c>
      <c r="E405" s="15">
        <v>0</v>
      </c>
      <c r="F405">
        <f t="shared" si="36"/>
        <v>3.2473390839539659E-3</v>
      </c>
      <c r="G405">
        <f t="shared" si="34"/>
        <v>0</v>
      </c>
      <c r="H405" t="e">
        <f t="shared" si="35"/>
        <v>#NUM!</v>
      </c>
    </row>
    <row r="406" spans="1:8" x14ac:dyDescent="0.2">
      <c r="A406" s="1">
        <v>40765</v>
      </c>
      <c r="B406">
        <v>273.48038839999998</v>
      </c>
      <c r="C406" s="2">
        <f t="shared" si="33"/>
        <v>-4.2552474400652511E-2</v>
      </c>
      <c r="D406">
        <v>-1.8482841135536232</v>
      </c>
      <c r="E406" s="15">
        <v>0</v>
      </c>
      <c r="F406">
        <f t="shared" si="36"/>
        <v>3.2470992440621228E-3</v>
      </c>
      <c r="G406">
        <f t="shared" si="34"/>
        <v>0</v>
      </c>
      <c r="H406" t="e">
        <f t="shared" si="35"/>
        <v>#NUM!</v>
      </c>
    </row>
    <row r="407" spans="1:8" x14ac:dyDescent="0.2">
      <c r="A407" s="1">
        <v>40766</v>
      </c>
      <c r="B407">
        <v>280.01592210000001</v>
      </c>
      <c r="C407" s="2">
        <f t="shared" si="33"/>
        <v>2.3897632068742632E-2</v>
      </c>
      <c r="D407">
        <v>-1.5616038175297318</v>
      </c>
      <c r="E407" s="15">
        <v>0</v>
      </c>
      <c r="F407">
        <f t="shared" si="36"/>
        <v>3.2470786964163569E-3</v>
      </c>
      <c r="G407">
        <f t="shared" si="34"/>
        <v>0</v>
      </c>
      <c r="H407" t="e">
        <f t="shared" si="35"/>
        <v>#NUM!</v>
      </c>
    </row>
    <row r="408" spans="1:8" x14ac:dyDescent="0.2">
      <c r="A408" s="1">
        <v>40767</v>
      </c>
      <c r="B408">
        <v>280.83284850000001</v>
      </c>
      <c r="C408" s="2">
        <f t="shared" si="33"/>
        <v>2.917428387190986E-3</v>
      </c>
      <c r="D408">
        <v>-0.87791977134810384</v>
      </c>
      <c r="E408" s="15">
        <v>0</v>
      </c>
      <c r="F408">
        <f t="shared" si="36"/>
        <v>3.2470769360513764E-3</v>
      </c>
      <c r="G408">
        <f t="shared" si="34"/>
        <v>0</v>
      </c>
      <c r="H408" t="e">
        <f t="shared" si="35"/>
        <v>#NUM!</v>
      </c>
    </row>
    <row r="409" spans="1:8" x14ac:dyDescent="0.2">
      <c r="A409" s="1">
        <v>40770</v>
      </c>
      <c r="B409">
        <v>277.57506100000001</v>
      </c>
      <c r="C409" s="2">
        <f t="shared" si="33"/>
        <v>-1.1600450294189877E-2</v>
      </c>
      <c r="D409">
        <v>-4.9762587987152767</v>
      </c>
      <c r="E409" s="15">
        <v>1</v>
      </c>
      <c r="F409">
        <f t="shared" si="36"/>
        <v>3.2470767852367821E-3</v>
      </c>
      <c r="G409">
        <f t="shared" si="34"/>
        <v>307.96931090346186</v>
      </c>
      <c r="H409">
        <f t="shared" si="35"/>
        <v>-4.9770148826618534</v>
      </c>
    </row>
    <row r="410" spans="1:8" x14ac:dyDescent="0.2">
      <c r="A410" s="1">
        <v>40771</v>
      </c>
      <c r="B410">
        <v>268.4940823</v>
      </c>
      <c r="C410" s="2">
        <f t="shared" si="33"/>
        <v>-3.2715398376513383E-2</v>
      </c>
      <c r="D410">
        <v>1.8201834882995012</v>
      </c>
      <c r="E410" s="15">
        <v>0</v>
      </c>
      <c r="F410">
        <f t="shared" si="36"/>
        <v>12314.404642098363</v>
      </c>
      <c r="G410">
        <f t="shared" si="34"/>
        <v>0</v>
      </c>
      <c r="H410" t="e">
        <f t="shared" si="35"/>
        <v>#NUM!</v>
      </c>
    </row>
    <row r="411" spans="1:8" x14ac:dyDescent="0.2">
      <c r="A411" s="1">
        <v>40772</v>
      </c>
      <c r="B411">
        <v>265.57998400000002</v>
      </c>
      <c r="C411" s="2">
        <f t="shared" si="33"/>
        <v>-1.0853491723307072E-2</v>
      </c>
      <c r="D411">
        <v>-0.66824516093623754</v>
      </c>
      <c r="E411" s="15">
        <v>1</v>
      </c>
      <c r="F411">
        <f t="shared" si="36"/>
        <v>1055.0068819468672</v>
      </c>
      <c r="G411">
        <f t="shared" si="34"/>
        <v>9.4786111551674454E-4</v>
      </c>
      <c r="H411">
        <f t="shared" si="35"/>
        <v>-1238856975202.248</v>
      </c>
    </row>
    <row r="412" spans="1:8" x14ac:dyDescent="0.2">
      <c r="A412" s="1">
        <v>40773</v>
      </c>
      <c r="B412">
        <v>251.49776109999999</v>
      </c>
      <c r="C412" s="2">
        <f t="shared" si="33"/>
        <v>-5.3024413541647143E-2</v>
      </c>
      <c r="D412">
        <v>3.8854704912872537</v>
      </c>
      <c r="E412" s="15">
        <v>0</v>
      </c>
      <c r="F412">
        <f t="shared" si="36"/>
        <v>90.387881727024734</v>
      </c>
      <c r="G412">
        <f t="shared" si="34"/>
        <v>0</v>
      </c>
      <c r="H412" t="e">
        <f t="shared" si="35"/>
        <v>#NUM!</v>
      </c>
    </row>
    <row r="413" spans="1:8" x14ac:dyDescent="0.2">
      <c r="A413" s="1">
        <v>40774</v>
      </c>
      <c r="B413">
        <v>244.54381520000001</v>
      </c>
      <c r="C413" s="2">
        <f t="shared" si="33"/>
        <v>-2.7650130440862918E-2</v>
      </c>
      <c r="D413">
        <v>-0.47853962742755124</v>
      </c>
      <c r="E413" s="15">
        <v>0</v>
      </c>
      <c r="F413">
        <f t="shared" si="36"/>
        <v>7.7467106064700255</v>
      </c>
      <c r="G413">
        <f t="shared" si="34"/>
        <v>0</v>
      </c>
      <c r="H413" t="e">
        <f t="shared" si="35"/>
        <v>#NUM!</v>
      </c>
    </row>
    <row r="414" spans="1:8" x14ac:dyDescent="0.2">
      <c r="A414" s="1">
        <v>40777</v>
      </c>
      <c r="B414">
        <v>248.15528710000001</v>
      </c>
      <c r="C414" s="2">
        <f t="shared" si="33"/>
        <v>1.4768199707060094E-2</v>
      </c>
      <c r="D414">
        <v>-1.5341095854374278</v>
      </c>
      <c r="E414" s="15">
        <v>1</v>
      </c>
      <c r="F414">
        <f t="shared" si="36"/>
        <v>0.66664774954916384</v>
      </c>
      <c r="G414">
        <f t="shared" si="34"/>
        <v>1.5000425647221842</v>
      </c>
      <c r="H414">
        <f t="shared" si="35"/>
        <v>-0.54971561012467718</v>
      </c>
    </row>
    <row r="415" spans="1:8" x14ac:dyDescent="0.2">
      <c r="A415" s="1">
        <v>40778</v>
      </c>
      <c r="B415">
        <v>258.44172750000001</v>
      </c>
      <c r="C415" s="2">
        <f t="shared" si="33"/>
        <v>4.1451627004242875E-2</v>
      </c>
      <c r="D415">
        <v>1.8068165264874152</v>
      </c>
      <c r="E415" s="15">
        <v>0</v>
      </c>
      <c r="F415">
        <f t="shared" si="36"/>
        <v>0.35223196414346919</v>
      </c>
      <c r="G415">
        <f t="shared" si="34"/>
        <v>0</v>
      </c>
      <c r="H415" t="e">
        <f t="shared" si="35"/>
        <v>#NUM!</v>
      </c>
    </row>
    <row r="416" spans="1:8" x14ac:dyDescent="0.2">
      <c r="A416" s="1">
        <v>40779</v>
      </c>
      <c r="B416">
        <v>260.66838539999998</v>
      </c>
      <c r="C416" s="2">
        <f t="shared" si="33"/>
        <v>8.6157058364344959E-3</v>
      </c>
      <c r="D416">
        <v>-0.79215035792074906</v>
      </c>
      <c r="E416" s="15">
        <v>0</v>
      </c>
      <c r="F416">
        <f t="shared" si="36"/>
        <v>3.3145430160935782E-2</v>
      </c>
      <c r="G416">
        <f t="shared" si="34"/>
        <v>0</v>
      </c>
      <c r="H416" t="e">
        <f t="shared" si="35"/>
        <v>#NUM!</v>
      </c>
    </row>
    <row r="417" spans="1:8" x14ac:dyDescent="0.2">
      <c r="A417" s="1">
        <v>40780</v>
      </c>
      <c r="B417">
        <v>259.04945550000002</v>
      </c>
      <c r="C417" s="2">
        <f t="shared" si="33"/>
        <v>-6.2106875657962132E-3</v>
      </c>
      <c r="D417">
        <v>-1.7208565013364512</v>
      </c>
      <c r="E417" s="15">
        <v>0</v>
      </c>
      <c r="F417">
        <f t="shared" si="36"/>
        <v>5.8085387935837823E-3</v>
      </c>
      <c r="G417">
        <f t="shared" si="34"/>
        <v>0</v>
      </c>
      <c r="H417" t="e">
        <f t="shared" si="35"/>
        <v>#NUM!</v>
      </c>
    </row>
    <row r="418" spans="1:8" x14ac:dyDescent="0.2">
      <c r="A418" s="1">
        <v>40781</v>
      </c>
      <c r="B418">
        <v>262.44673920000002</v>
      </c>
      <c r="C418" s="2">
        <f t="shared" si="33"/>
        <v>1.3114421311725175E-2</v>
      </c>
      <c r="D418">
        <v>-3.1115892842443924</v>
      </c>
      <c r="E418" s="15">
        <v>1</v>
      </c>
      <c r="F418">
        <f t="shared" si="36"/>
        <v>3.4665232271377491E-3</v>
      </c>
      <c r="G418">
        <f t="shared" si="34"/>
        <v>288.47347456710492</v>
      </c>
      <c r="H418">
        <f t="shared" si="35"/>
        <v>-4.9202117711504254</v>
      </c>
    </row>
    <row r="419" spans="1:8" x14ac:dyDescent="0.2">
      <c r="A419" s="1">
        <v>40784</v>
      </c>
      <c r="B419">
        <v>268.53393840000001</v>
      </c>
      <c r="C419" s="2">
        <f t="shared" si="33"/>
        <v>2.3194036315921526E-2</v>
      </c>
      <c r="D419">
        <v>0.76859014703031525</v>
      </c>
      <c r="E419" s="15">
        <v>0</v>
      </c>
      <c r="F419">
        <f t="shared" si="36"/>
        <v>10804.640599547884</v>
      </c>
      <c r="G419">
        <f t="shared" si="34"/>
        <v>0</v>
      </c>
      <c r="H419" t="e">
        <f t="shared" si="35"/>
        <v>#NUM!</v>
      </c>
    </row>
    <row r="420" spans="1:8" x14ac:dyDescent="0.2">
      <c r="A420" s="1">
        <v>40785</v>
      </c>
      <c r="B420">
        <v>269.34091610000002</v>
      </c>
      <c r="C420" s="2">
        <f t="shared" si="33"/>
        <v>3.0051236905405789E-3</v>
      </c>
      <c r="D420">
        <v>-0.87043550119486046</v>
      </c>
      <c r="E420" s="15">
        <v>0</v>
      </c>
      <c r="F420">
        <f t="shared" si="36"/>
        <v>925.66185724019658</v>
      </c>
      <c r="G420">
        <f t="shared" si="34"/>
        <v>0</v>
      </c>
      <c r="H420" t="e">
        <f t="shared" si="35"/>
        <v>#NUM!</v>
      </c>
    </row>
    <row r="421" spans="1:8" x14ac:dyDescent="0.2">
      <c r="A421" s="1">
        <v>40786</v>
      </c>
      <c r="B421">
        <v>269.4704327</v>
      </c>
      <c r="C421" s="2">
        <f t="shared" si="33"/>
        <v>4.808649271538885E-4</v>
      </c>
      <c r="D421">
        <v>-0.8399849800966469</v>
      </c>
      <c r="E421" s="15">
        <v>0</v>
      </c>
      <c r="F421">
        <f t="shared" si="36"/>
        <v>79.306590133788831</v>
      </c>
      <c r="G421">
        <f t="shared" si="34"/>
        <v>0</v>
      </c>
      <c r="H421" t="e">
        <f t="shared" si="35"/>
        <v>#NUM!</v>
      </c>
    </row>
    <row r="422" spans="1:8" x14ac:dyDescent="0.2">
      <c r="A422" s="1">
        <v>40787</v>
      </c>
      <c r="B422">
        <v>265.2562226</v>
      </c>
      <c r="C422" s="2">
        <f t="shared" si="33"/>
        <v>-1.5638858993823862E-2</v>
      </c>
      <c r="D422">
        <v>-33.522353182183828</v>
      </c>
      <c r="E422" s="15">
        <v>0</v>
      </c>
      <c r="F422">
        <f t="shared" si="36"/>
        <v>6.7973503789687832</v>
      </c>
      <c r="G422">
        <f t="shared" si="34"/>
        <v>0</v>
      </c>
      <c r="H422" t="e">
        <f t="shared" si="35"/>
        <v>#NUM!</v>
      </c>
    </row>
    <row r="423" spans="1:8" x14ac:dyDescent="0.2">
      <c r="A423" s="1">
        <v>40788</v>
      </c>
      <c r="B423">
        <v>261.44051180000002</v>
      </c>
      <c r="C423" s="2">
        <f t="shared" si="33"/>
        <v>-1.4385000142876862E-2</v>
      </c>
      <c r="D423">
        <v>-8.0175852435409617E-2</v>
      </c>
      <c r="E423" s="15">
        <v>0</v>
      </c>
      <c r="F423">
        <f t="shared" si="36"/>
        <v>0.58531383337360166</v>
      </c>
      <c r="G423">
        <f t="shared" si="34"/>
        <v>0</v>
      </c>
      <c r="H423" t="e">
        <f t="shared" si="35"/>
        <v>#NUM!</v>
      </c>
    </row>
    <row r="424" spans="1:8" x14ac:dyDescent="0.2">
      <c r="A424" s="1">
        <v>40792</v>
      </c>
      <c r="B424">
        <v>260.1154669</v>
      </c>
      <c r="C424" s="2">
        <f t="shared" si="33"/>
        <v>-5.0682462747535934E-3</v>
      </c>
      <c r="D424">
        <v>-0.64767144772930163</v>
      </c>
      <c r="E424" s="15">
        <v>0</v>
      </c>
      <c r="F424">
        <f t="shared" si="36"/>
        <v>5.3114100287241582E-2</v>
      </c>
      <c r="G424">
        <f t="shared" si="34"/>
        <v>0</v>
      </c>
      <c r="H424" t="e">
        <f t="shared" si="35"/>
        <v>#NUM!</v>
      </c>
    </row>
    <row r="425" spans="1:8" x14ac:dyDescent="0.2">
      <c r="A425" s="1">
        <v>40793</v>
      </c>
      <c r="B425">
        <v>266.01836980000002</v>
      </c>
      <c r="C425" s="2">
        <f t="shared" si="33"/>
        <v>2.269339447726634E-2</v>
      </c>
      <c r="D425">
        <v>-5.4775634898226491</v>
      </c>
      <c r="E425" s="15">
        <v>0</v>
      </c>
      <c r="F425">
        <f t="shared" si="36"/>
        <v>7.5193015737617438E-3</v>
      </c>
      <c r="G425">
        <f t="shared" si="34"/>
        <v>0</v>
      </c>
      <c r="H425" t="e">
        <f t="shared" si="35"/>
        <v>#NUM!</v>
      </c>
    </row>
    <row r="426" spans="1:8" x14ac:dyDescent="0.2">
      <c r="A426" s="1">
        <v>40794</v>
      </c>
      <c r="B426">
        <v>266.48162739999998</v>
      </c>
      <c r="C426" s="2">
        <f t="shared" si="33"/>
        <v>1.7414496613457672E-3</v>
      </c>
      <c r="D426">
        <v>-0.92326182567837933</v>
      </c>
      <c r="E426" s="15">
        <v>0</v>
      </c>
      <c r="F426">
        <f t="shared" si="36"/>
        <v>3.6130882848772086E-3</v>
      </c>
      <c r="G426">
        <f t="shared" si="34"/>
        <v>0</v>
      </c>
      <c r="H426" t="e">
        <f t="shared" si="35"/>
        <v>#NUM!</v>
      </c>
    </row>
    <row r="427" spans="1:8" x14ac:dyDescent="0.2">
      <c r="A427" s="1">
        <v>40795</v>
      </c>
      <c r="B427">
        <v>261.44548609999998</v>
      </c>
      <c r="C427" s="2">
        <f t="shared" si="33"/>
        <v>-1.8898643591817081E-2</v>
      </c>
      <c r="D427">
        <v>-11.852247992751328</v>
      </c>
      <c r="E427" s="15">
        <v>0</v>
      </c>
      <c r="F427">
        <f t="shared" si="36"/>
        <v>3.2784338354926771E-3</v>
      </c>
      <c r="G427">
        <f t="shared" si="34"/>
        <v>0</v>
      </c>
      <c r="H427" t="e">
        <f t="shared" si="35"/>
        <v>#NUM!</v>
      </c>
    </row>
    <row r="428" spans="1:8" x14ac:dyDescent="0.2">
      <c r="A428" s="1">
        <v>40798</v>
      </c>
      <c r="B428">
        <v>264.07064339999999</v>
      </c>
      <c r="C428" s="2">
        <f t="shared" si="33"/>
        <v>1.0040935642682769E-2</v>
      </c>
      <c r="D428">
        <v>-1.5313045665896567</v>
      </c>
      <c r="E428" s="15">
        <v>0</v>
      </c>
      <c r="F428">
        <f t="shared" si="36"/>
        <v>3.249763204318606E-3</v>
      </c>
      <c r="G428">
        <f t="shared" si="34"/>
        <v>0</v>
      </c>
      <c r="H428" t="e">
        <f t="shared" si="35"/>
        <v>#NUM!</v>
      </c>
    </row>
    <row r="429" spans="1:8" x14ac:dyDescent="0.2">
      <c r="A429" s="1">
        <v>40799</v>
      </c>
      <c r="B429">
        <v>263.77178409999999</v>
      </c>
      <c r="C429" s="2">
        <f t="shared" si="33"/>
        <v>-1.1317399622770932E-3</v>
      </c>
      <c r="D429">
        <v>-1.1127125999559451</v>
      </c>
      <c r="E429" s="15">
        <v>0</v>
      </c>
      <c r="F429">
        <f t="shared" si="36"/>
        <v>3.2473069241363722E-3</v>
      </c>
      <c r="G429">
        <f t="shared" si="34"/>
        <v>0</v>
      </c>
      <c r="H429" t="e">
        <f t="shared" si="35"/>
        <v>#NUM!</v>
      </c>
    </row>
    <row r="430" spans="1:8" x14ac:dyDescent="0.2">
      <c r="A430" s="1">
        <v>40800</v>
      </c>
      <c r="B430">
        <v>265.04201940000002</v>
      </c>
      <c r="C430" s="2">
        <f t="shared" si="33"/>
        <v>4.8156602660671937E-3</v>
      </c>
      <c r="D430">
        <v>-5.2550943030923349</v>
      </c>
      <c r="E430" s="15">
        <v>1</v>
      </c>
      <c r="F430">
        <f t="shared" si="36"/>
        <v>3.2470964888551604E-3</v>
      </c>
      <c r="G430">
        <f t="shared" si="34"/>
        <v>307.96744212321613</v>
      </c>
      <c r="H430">
        <f t="shared" si="35"/>
        <v>-4.9770096119846663</v>
      </c>
    </row>
    <row r="431" spans="1:8" x14ac:dyDescent="0.2">
      <c r="A431" s="1">
        <v>40801</v>
      </c>
      <c r="B431">
        <v>270.2674313</v>
      </c>
      <c r="C431" s="2">
        <f t="shared" si="33"/>
        <v>1.9715409321998181E-2</v>
      </c>
      <c r="D431">
        <v>3.0940199749803301</v>
      </c>
      <c r="E431" s="15">
        <v>0</v>
      </c>
      <c r="F431">
        <f t="shared" si="36"/>
        <v>12314.25519318142</v>
      </c>
      <c r="G431">
        <f t="shared" si="34"/>
        <v>0</v>
      </c>
      <c r="H431" t="e">
        <f t="shared" si="35"/>
        <v>#NUM!</v>
      </c>
    </row>
    <row r="432" spans="1:8" x14ac:dyDescent="0.2">
      <c r="A432" s="1">
        <v>40802</v>
      </c>
      <c r="B432">
        <v>272.31974179999997</v>
      </c>
      <c r="C432" s="2">
        <f t="shared" si="33"/>
        <v>7.5936286149176713E-3</v>
      </c>
      <c r="D432">
        <v>-0.61483789198103</v>
      </c>
      <c r="E432" s="15">
        <v>0</v>
      </c>
      <c r="F432">
        <f t="shared" si="36"/>
        <v>1054.9940783078152</v>
      </c>
      <c r="G432">
        <f t="shared" si="34"/>
        <v>0</v>
      </c>
      <c r="H432" t="e">
        <f t="shared" si="35"/>
        <v>#NUM!</v>
      </c>
    </row>
    <row r="433" spans="1:8" x14ac:dyDescent="0.2">
      <c r="A433" s="1">
        <v>40805</v>
      </c>
      <c r="B433">
        <v>272.31476739999999</v>
      </c>
      <c r="C433" s="2">
        <f t="shared" si="33"/>
        <v>-1.8266762325420601E-5</v>
      </c>
      <c r="D433">
        <v>-1.0024055380176924</v>
      </c>
      <c r="E433" s="15">
        <v>1</v>
      </c>
      <c r="F433">
        <f t="shared" si="36"/>
        <v>90.386784692602077</v>
      </c>
      <c r="G433">
        <f t="shared" si="34"/>
        <v>1.1063564252240156E-2</v>
      </c>
      <c r="H433">
        <f t="shared" si="35"/>
        <v>-66745151.781372786</v>
      </c>
    </row>
    <row r="434" spans="1:8" x14ac:dyDescent="0.2">
      <c r="A434" s="1">
        <v>40806</v>
      </c>
      <c r="B434">
        <v>272.29483959999999</v>
      </c>
      <c r="C434" s="2">
        <f t="shared" si="33"/>
        <v>-7.3179285098164449E-5</v>
      </c>
      <c r="D434">
        <v>3.0061442632516138</v>
      </c>
      <c r="E434" s="15">
        <v>1</v>
      </c>
      <c r="F434">
        <f t="shared" si="36"/>
        <v>7.7466325133249914</v>
      </c>
      <c r="G434">
        <f t="shared" si="34"/>
        <v>0.12908834881219663</v>
      </c>
      <c r="H434">
        <f t="shared" si="35"/>
        <v>-3599.459716077235</v>
      </c>
    </row>
    <row r="435" spans="1:8" x14ac:dyDescent="0.2">
      <c r="A435" s="1">
        <v>40807</v>
      </c>
      <c r="B435">
        <v>268.59372230000002</v>
      </c>
      <c r="C435" s="2">
        <f t="shared" si="33"/>
        <v>-1.359231524709352E-2</v>
      </c>
      <c r="D435">
        <v>184.73992939204669</v>
      </c>
      <c r="E435" s="15">
        <v>1</v>
      </c>
      <c r="F435">
        <f t="shared" si="36"/>
        <v>0.66880463691565673</v>
      </c>
      <c r="G435">
        <f t="shared" si="34"/>
        <v>1.495204944468874</v>
      </c>
      <c r="H435">
        <f t="shared" si="35"/>
        <v>-0.5494784191242752</v>
      </c>
    </row>
    <row r="436" spans="1:8" x14ac:dyDescent="0.2">
      <c r="A436" s="1">
        <v>40808</v>
      </c>
      <c r="B436">
        <v>259.35829389999998</v>
      </c>
      <c r="C436" s="2">
        <f t="shared" si="33"/>
        <v>-3.4384379206319392E-2</v>
      </c>
      <c r="D436">
        <v>1.5296925932961931</v>
      </c>
      <c r="E436" s="15">
        <v>0</v>
      </c>
      <c r="F436">
        <f t="shared" si="36"/>
        <v>0.35053542870023824</v>
      </c>
      <c r="G436">
        <f t="shared" si="34"/>
        <v>0</v>
      </c>
      <c r="H436" t="e">
        <f t="shared" si="35"/>
        <v>#NUM!</v>
      </c>
    </row>
    <row r="437" spans="1:8" x14ac:dyDescent="0.2">
      <c r="A437" s="1">
        <v>40809</v>
      </c>
      <c r="B437">
        <v>261.7742523</v>
      </c>
      <c r="C437" s="2">
        <f t="shared" si="33"/>
        <v>9.3151383889482874E-3</v>
      </c>
      <c r="D437">
        <v>-1.2709119258211383</v>
      </c>
      <c r="E437" s="15">
        <v>1</v>
      </c>
      <c r="F437">
        <f t="shared" si="36"/>
        <v>3.3000083992504224E-2</v>
      </c>
      <c r="G437">
        <f t="shared" si="34"/>
        <v>30.302953175123559</v>
      </c>
      <c r="H437">
        <f t="shared" si="35"/>
        <v>-2.9629710954236819</v>
      </c>
    </row>
    <row r="438" spans="1:8" x14ac:dyDescent="0.2">
      <c r="A438" s="1">
        <v>40812</v>
      </c>
      <c r="B438">
        <v>264.9523585</v>
      </c>
      <c r="C438" s="2">
        <f t="shared" si="33"/>
        <v>1.2140637102681172E-2</v>
      </c>
      <c r="D438">
        <v>0.30332332121711975</v>
      </c>
      <c r="E438" s="15">
        <v>1</v>
      </c>
      <c r="F438">
        <f t="shared" si="36"/>
        <v>119.23107099687472</v>
      </c>
      <c r="G438">
        <f t="shared" si="34"/>
        <v>8.3870755469957325E-3</v>
      </c>
      <c r="H438">
        <f t="shared" si="35"/>
        <v>-202096024.86102161</v>
      </c>
    </row>
    <row r="439" spans="1:8" x14ac:dyDescent="0.2">
      <c r="A439" s="1">
        <v>40813</v>
      </c>
      <c r="B439">
        <v>268.66345489999998</v>
      </c>
      <c r="C439" s="2">
        <f t="shared" si="33"/>
        <v>1.4006655464438803E-2</v>
      </c>
      <c r="D439">
        <v>0.1537002009017743</v>
      </c>
      <c r="E439" s="15">
        <v>0</v>
      </c>
      <c r="F439">
        <f t="shared" si="36"/>
        <v>10.217783378406885</v>
      </c>
      <c r="G439">
        <f t="shared" si="34"/>
        <v>0</v>
      </c>
      <c r="H439" t="e">
        <f t="shared" si="35"/>
        <v>#NUM!</v>
      </c>
    </row>
    <row r="440" spans="1:8" x14ac:dyDescent="0.2">
      <c r="A440" s="1">
        <v>40814</v>
      </c>
      <c r="B440">
        <v>263.43303830000002</v>
      </c>
      <c r="C440" s="2">
        <f t="shared" si="33"/>
        <v>-1.9468284593998034E-2</v>
      </c>
      <c r="D440">
        <v>-2.3899309969768048</v>
      </c>
      <c r="E440" s="15">
        <v>0</v>
      </c>
      <c r="F440">
        <f t="shared" si="36"/>
        <v>0.8783503465975151</v>
      </c>
      <c r="G440">
        <f t="shared" si="34"/>
        <v>0</v>
      </c>
      <c r="H440" t="e">
        <f t="shared" si="35"/>
        <v>#NUM!</v>
      </c>
    </row>
    <row r="441" spans="1:8" x14ac:dyDescent="0.2">
      <c r="A441" s="1">
        <v>40815</v>
      </c>
      <c r="B441">
        <v>262.76555669999999</v>
      </c>
      <c r="C441" s="2">
        <f t="shared" si="33"/>
        <v>-2.5337808966842505E-3</v>
      </c>
      <c r="D441">
        <v>-0.8698508394794372</v>
      </c>
      <c r="E441" s="15">
        <v>1</v>
      </c>
      <c r="F441">
        <f t="shared" si="36"/>
        <v>7.8219225309873311E-2</v>
      </c>
      <c r="G441">
        <f t="shared" si="34"/>
        <v>12.784580722174116</v>
      </c>
      <c r="H441">
        <f t="shared" si="35"/>
        <v>-2.2134104122560077</v>
      </c>
    </row>
    <row r="442" spans="1:8" x14ac:dyDescent="0.2">
      <c r="A442" s="1">
        <v>40816</v>
      </c>
      <c r="B442">
        <v>256.55878969999998</v>
      </c>
      <c r="C442" s="2">
        <f t="shared" si="33"/>
        <v>-2.362093068037183E-2</v>
      </c>
      <c r="D442">
        <v>8.3224045975256136</v>
      </c>
      <c r="E442" s="15">
        <v>1</v>
      </c>
      <c r="F442">
        <f t="shared" si="36"/>
        <v>21.230941648734731</v>
      </c>
      <c r="G442">
        <f t="shared" si="34"/>
        <v>4.710106676119076E-2</v>
      </c>
      <c r="H442">
        <f t="shared" si="35"/>
        <v>-203175.50785751906</v>
      </c>
    </row>
    <row r="443" spans="1:8" x14ac:dyDescent="0.2">
      <c r="A443" s="1">
        <v>40819</v>
      </c>
      <c r="B443">
        <v>246.83523149999999</v>
      </c>
      <c r="C443" s="2">
        <f t="shared" si="33"/>
        <v>-3.7899922319441726E-2</v>
      </c>
      <c r="D443">
        <v>0.60450588642280889</v>
      </c>
      <c r="E443" s="15">
        <v>0</v>
      </c>
      <c r="F443">
        <f t="shared" si="36"/>
        <v>1.8221614773213195</v>
      </c>
      <c r="G443">
        <f t="shared" si="34"/>
        <v>0</v>
      </c>
      <c r="H443" t="e">
        <f t="shared" si="35"/>
        <v>#NUM!</v>
      </c>
    </row>
    <row r="444" spans="1:8" x14ac:dyDescent="0.2">
      <c r="A444" s="1">
        <v>40820</v>
      </c>
      <c r="B444">
        <v>250.0133222</v>
      </c>
      <c r="C444" s="2">
        <f t="shared" si="33"/>
        <v>1.2875352844433851E-2</v>
      </c>
      <c r="D444">
        <v>-1.3397197687085789</v>
      </c>
      <c r="E444" s="15">
        <v>0</v>
      </c>
      <c r="F444">
        <f t="shared" si="36"/>
        <v>0.15907773735634725</v>
      </c>
      <c r="G444">
        <f t="shared" si="34"/>
        <v>0</v>
      </c>
      <c r="H444" t="e">
        <f t="shared" si="35"/>
        <v>#NUM!</v>
      </c>
    </row>
    <row r="445" spans="1:8" x14ac:dyDescent="0.2">
      <c r="A445" s="1">
        <v>40821</v>
      </c>
      <c r="B445">
        <v>251.40810020000001</v>
      </c>
      <c r="C445" s="2">
        <f t="shared" si="33"/>
        <v>5.5788147116586024E-3</v>
      </c>
      <c r="D445">
        <v>-0.56670587757364788</v>
      </c>
      <c r="E445" s="15">
        <v>1</v>
      </c>
      <c r="F445">
        <f t="shared" si="36"/>
        <v>1.6597454760903824E-2</v>
      </c>
      <c r="G445">
        <f t="shared" si="34"/>
        <v>60.250201877672986</v>
      </c>
      <c r="H445">
        <f t="shared" si="35"/>
        <v>-3.5599170887278691</v>
      </c>
    </row>
    <row r="446" spans="1:8" x14ac:dyDescent="0.2">
      <c r="A446" s="1">
        <v>40822</v>
      </c>
      <c r="B446">
        <v>256.39442179999998</v>
      </c>
      <c r="C446" s="2">
        <f t="shared" si="33"/>
        <v>1.9833575752067067E-2</v>
      </c>
      <c r="D446">
        <v>2.5551594338881478</v>
      </c>
      <c r="E446" s="15">
        <v>0</v>
      </c>
      <c r="F446">
        <f t="shared" si="36"/>
        <v>471.32392075362577</v>
      </c>
      <c r="G446">
        <f t="shared" si="34"/>
        <v>0</v>
      </c>
      <c r="H446" t="e">
        <f t="shared" si="35"/>
        <v>#NUM!</v>
      </c>
    </row>
    <row r="447" spans="1:8" x14ac:dyDescent="0.2">
      <c r="A447" s="1">
        <v>40823</v>
      </c>
      <c r="B447">
        <v>256.59864579999999</v>
      </c>
      <c r="C447" s="2">
        <f t="shared" si="33"/>
        <v>7.9652278924896114E-4</v>
      </c>
      <c r="D447">
        <v>-0.95983967796800596</v>
      </c>
      <c r="E447" s="15">
        <v>1</v>
      </c>
      <c r="F447">
        <f t="shared" si="36"/>
        <v>40.382394058249872</v>
      </c>
      <c r="G447">
        <f t="shared" si="34"/>
        <v>2.4763266847367762E-2</v>
      </c>
      <c r="H447">
        <f t="shared" si="35"/>
        <v>-2659302.3964857799</v>
      </c>
    </row>
    <row r="448" spans="1:8" x14ac:dyDescent="0.2">
      <c r="A448" s="1">
        <v>40826</v>
      </c>
      <c r="B448">
        <v>267.58249009999997</v>
      </c>
      <c r="C448" s="2">
        <f t="shared" si="33"/>
        <v>4.2805542740709149E-2</v>
      </c>
      <c r="D448">
        <v>52.740512284739978</v>
      </c>
      <c r="E448" s="15">
        <v>0</v>
      </c>
      <c r="F448">
        <f t="shared" si="36"/>
        <v>3.4627028738264927</v>
      </c>
      <c r="G448">
        <f t="shared" si="34"/>
        <v>0</v>
      </c>
      <c r="H448" t="e">
        <f t="shared" si="35"/>
        <v>#NUM!</v>
      </c>
    </row>
    <row r="449" spans="1:8" x14ac:dyDescent="0.2">
      <c r="A449" s="1">
        <v>40827</v>
      </c>
      <c r="B449">
        <v>270.57626970000001</v>
      </c>
      <c r="C449" s="2">
        <f t="shared" si="33"/>
        <v>1.1188249271771162E-2</v>
      </c>
      <c r="D449">
        <v>-0.73862615550647237</v>
      </c>
      <c r="E449" s="15">
        <v>0</v>
      </c>
      <c r="F449">
        <f t="shared" si="36"/>
        <v>0.29962676454394011</v>
      </c>
      <c r="G449">
        <f t="shared" si="34"/>
        <v>0</v>
      </c>
      <c r="H449" t="e">
        <f t="shared" si="35"/>
        <v>#NUM!</v>
      </c>
    </row>
    <row r="450" spans="1:8" x14ac:dyDescent="0.2">
      <c r="A450" s="1">
        <v>40828</v>
      </c>
      <c r="B450">
        <v>273.2263595</v>
      </c>
      <c r="C450" s="2">
        <f t="shared" si="33"/>
        <v>9.7942432384712161E-3</v>
      </c>
      <c r="D450">
        <v>-0.12459554658092338</v>
      </c>
      <c r="E450" s="15">
        <v>1</v>
      </c>
      <c r="F450">
        <f t="shared" si="36"/>
        <v>2.8638619394396464E-2</v>
      </c>
      <c r="G450">
        <f t="shared" si="34"/>
        <v>34.917884351494386</v>
      </c>
      <c r="H450">
        <f t="shared" si="35"/>
        <v>-3.0860965171851085</v>
      </c>
    </row>
    <row r="451" spans="1:8" x14ac:dyDescent="0.2">
      <c r="A451" s="1">
        <v>40829</v>
      </c>
      <c r="B451">
        <v>278.45177139999998</v>
      </c>
      <c r="C451" s="2">
        <f t="shared" si="33"/>
        <v>1.9124845456208565E-2</v>
      </c>
      <c r="D451">
        <v>0.95266188418593567</v>
      </c>
      <c r="E451" s="15">
        <v>1</v>
      </c>
      <c r="F451">
        <f t="shared" si="36"/>
        <v>158.31028953795763</v>
      </c>
      <c r="G451">
        <f t="shared" si="34"/>
        <v>6.3167088059695115E-3</v>
      </c>
      <c r="H451">
        <f t="shared" si="35"/>
        <v>-628111246.62634301</v>
      </c>
    </row>
    <row r="452" spans="1:8" x14ac:dyDescent="0.2">
      <c r="A452" s="1">
        <v>40830</v>
      </c>
      <c r="B452">
        <v>294.73576550000001</v>
      </c>
      <c r="C452" s="2">
        <f t="shared" ref="C452:C515" si="37">(B452-B451)/B451</f>
        <v>5.8480483058618568E-2</v>
      </c>
      <c r="D452">
        <v>2.057827745198006</v>
      </c>
      <c r="E452" s="15">
        <v>0</v>
      </c>
      <c r="F452">
        <f t="shared" si="36"/>
        <v>13.565787687604631</v>
      </c>
      <c r="G452">
        <f t="shared" si="34"/>
        <v>0</v>
      </c>
      <c r="H452" t="e">
        <f t="shared" si="35"/>
        <v>#NUM!</v>
      </c>
    </row>
    <row r="453" spans="1:8" x14ac:dyDescent="0.2">
      <c r="A453" s="1">
        <v>40833</v>
      </c>
      <c r="B453">
        <v>290.11805129999999</v>
      </c>
      <c r="C453" s="2">
        <f t="shared" si="37"/>
        <v>-1.566730183615949E-2</v>
      </c>
      <c r="D453">
        <v>-1.2679065051575444</v>
      </c>
      <c r="E453" s="15">
        <v>0</v>
      </c>
      <c r="F453">
        <f t="shared" si="36"/>
        <v>1.1651817241415612</v>
      </c>
      <c r="G453">
        <f t="shared" si="34"/>
        <v>0</v>
      </c>
      <c r="H453" t="e">
        <f t="shared" si="35"/>
        <v>#NUM!</v>
      </c>
    </row>
    <row r="454" spans="1:8" x14ac:dyDescent="0.2">
      <c r="A454" s="1">
        <v>40834</v>
      </c>
      <c r="B454">
        <v>294.15293960000002</v>
      </c>
      <c r="C454" s="2">
        <f t="shared" si="37"/>
        <v>1.3907746456726714E-2</v>
      </c>
      <c r="D454">
        <v>-1.8876925077570283</v>
      </c>
      <c r="E454" s="15">
        <v>0</v>
      </c>
      <c r="F454">
        <f t="shared" si="36"/>
        <v>0.10279274181276256</v>
      </c>
      <c r="G454">
        <f t="shared" si="34"/>
        <v>0</v>
      </c>
      <c r="H454" t="e">
        <f t="shared" si="35"/>
        <v>#NUM!</v>
      </c>
    </row>
    <row r="455" spans="1:8" x14ac:dyDescent="0.2">
      <c r="A455" s="1">
        <v>40835</v>
      </c>
      <c r="B455">
        <v>289.2662431</v>
      </c>
      <c r="C455" s="2">
        <f t="shared" si="37"/>
        <v>-1.6612774656085835E-2</v>
      </c>
      <c r="D455">
        <v>-2.1944979517548502</v>
      </c>
      <c r="E455" s="15">
        <v>0</v>
      </c>
      <c r="F455">
        <f t="shared" si="36"/>
        <v>1.1775387249677883E-2</v>
      </c>
      <c r="G455">
        <f t="shared" si="34"/>
        <v>0</v>
      </c>
      <c r="H455" t="e">
        <f t="shared" si="35"/>
        <v>#NUM!</v>
      </c>
    </row>
    <row r="456" spans="1:8" x14ac:dyDescent="0.2">
      <c r="A456" s="1">
        <v>40836</v>
      </c>
      <c r="B456">
        <v>290.74570720000003</v>
      </c>
      <c r="C456" s="2">
        <f t="shared" si="37"/>
        <v>5.1145411374135885E-3</v>
      </c>
      <c r="D456">
        <v>-1.3078679656646011</v>
      </c>
      <c r="E456" s="15">
        <v>1</v>
      </c>
      <c r="F456">
        <f t="shared" si="36"/>
        <v>3.9777171218278503E-3</v>
      </c>
      <c r="G456">
        <f t="shared" ref="G456:G519" si="38">E456/F456</f>
        <v>251.40048157584357</v>
      </c>
      <c r="H456">
        <f t="shared" ref="H456:H519" si="39">-LOG(G456^2)-(F456^2)/(G456^2)</f>
        <v>-4.8007322107969284</v>
      </c>
    </row>
    <row r="457" spans="1:8" x14ac:dyDescent="0.2">
      <c r="A457" s="1">
        <v>40837</v>
      </c>
      <c r="B457">
        <v>294.14299089999997</v>
      </c>
      <c r="C457" s="2">
        <f t="shared" si="37"/>
        <v>1.1684725228506988E-2</v>
      </c>
      <c r="D457">
        <v>1.2846087096712504</v>
      </c>
      <c r="E457" s="15">
        <v>0</v>
      </c>
      <c r="F457">
        <f t="shared" ref="F457:F520" si="40" xml:space="preserve"> $K$5 + $K$6 * G456 ^ 2 + $K$7 * F456</f>
        <v>8205.9866996594956</v>
      </c>
      <c r="G457">
        <f t="shared" si="38"/>
        <v>0</v>
      </c>
      <c r="H457" t="e">
        <f t="shared" si="39"/>
        <v>#NUM!</v>
      </c>
    </row>
    <row r="458" spans="1:8" x14ac:dyDescent="0.2">
      <c r="A458" s="1">
        <v>40840</v>
      </c>
      <c r="B458">
        <v>297.09691429999998</v>
      </c>
      <c r="C458" s="2">
        <f t="shared" si="37"/>
        <v>1.0042474209437326E-2</v>
      </c>
      <c r="D458">
        <v>-0.14054682390503245</v>
      </c>
      <c r="E458" s="15">
        <v>0</v>
      </c>
      <c r="F458">
        <f t="shared" si="40"/>
        <v>703.02908588519131</v>
      </c>
      <c r="G458">
        <f t="shared" si="38"/>
        <v>0</v>
      </c>
      <c r="H458" t="e">
        <f t="shared" si="39"/>
        <v>#NUM!</v>
      </c>
    </row>
    <row r="459" spans="1:8" x14ac:dyDescent="0.2">
      <c r="A459" s="1">
        <v>40841</v>
      </c>
      <c r="B459">
        <v>290.49167840000001</v>
      </c>
      <c r="C459" s="2">
        <f t="shared" si="37"/>
        <v>-2.22325967792792E-2</v>
      </c>
      <c r="D459">
        <v>-3.2138564974741297</v>
      </c>
      <c r="E459" s="15">
        <v>0</v>
      </c>
      <c r="F459">
        <f t="shared" si="40"/>
        <v>60.23311871716853</v>
      </c>
      <c r="G459">
        <f t="shared" si="38"/>
        <v>0</v>
      </c>
      <c r="H459" t="e">
        <f t="shared" si="39"/>
        <v>#NUM!</v>
      </c>
    </row>
    <row r="460" spans="1:8" x14ac:dyDescent="0.2">
      <c r="A460" s="1">
        <v>40842</v>
      </c>
      <c r="B460">
        <v>292.06077299999998</v>
      </c>
      <c r="C460" s="2">
        <f t="shared" si="37"/>
        <v>5.4015130782485475E-3</v>
      </c>
      <c r="D460">
        <v>-1.2429546639051523</v>
      </c>
      <c r="E460" s="15">
        <v>1</v>
      </c>
      <c r="F460">
        <f t="shared" si="40"/>
        <v>5.1632813707699468</v>
      </c>
      <c r="G460">
        <f t="shared" si="38"/>
        <v>0.19367528673938611</v>
      </c>
      <c r="H460">
        <f t="shared" si="39"/>
        <v>-709.30172976399001</v>
      </c>
    </row>
    <row r="461" spans="1:8" x14ac:dyDescent="0.2">
      <c r="A461" s="1">
        <v>40843</v>
      </c>
      <c r="B461">
        <v>298.21770479999998</v>
      </c>
      <c r="C461" s="2">
        <f t="shared" si="37"/>
        <v>2.1080995358455739E-2</v>
      </c>
      <c r="D461">
        <v>2.9027944675996782</v>
      </c>
      <c r="E461" s="15">
        <v>0</v>
      </c>
      <c r="F461">
        <f t="shared" si="40"/>
        <v>0.45018951133465007</v>
      </c>
      <c r="G461">
        <f t="shared" si="38"/>
        <v>0</v>
      </c>
      <c r="H461" t="e">
        <f t="shared" si="39"/>
        <v>#NUM!</v>
      </c>
    </row>
    <row r="462" spans="1:8" x14ac:dyDescent="0.2">
      <c r="A462" s="1">
        <v>40844</v>
      </c>
      <c r="B462">
        <v>298.94997560000002</v>
      </c>
      <c r="C462" s="2">
        <f t="shared" si="37"/>
        <v>2.4554906976134625E-3</v>
      </c>
      <c r="D462">
        <v>-0.8835211214716886</v>
      </c>
      <c r="E462" s="15">
        <v>0</v>
      </c>
      <c r="F462">
        <f t="shared" si="40"/>
        <v>4.153768286039991E-2</v>
      </c>
      <c r="G462">
        <f t="shared" si="38"/>
        <v>0</v>
      </c>
      <c r="H462" t="e">
        <f t="shared" si="39"/>
        <v>#NUM!</v>
      </c>
    </row>
    <row r="463" spans="1:8" x14ac:dyDescent="0.2">
      <c r="A463" s="1">
        <v>40847</v>
      </c>
      <c r="B463">
        <v>295.2139765</v>
      </c>
      <c r="C463" s="2">
        <f t="shared" si="37"/>
        <v>-1.2497071098606956E-2</v>
      </c>
      <c r="D463">
        <v>-6.0894393983056396</v>
      </c>
      <c r="E463" s="15">
        <v>1</v>
      </c>
      <c r="F463">
        <f t="shared" si="40"/>
        <v>6.527522755423976E-3</v>
      </c>
      <c r="G463">
        <f t="shared" si="38"/>
        <v>153.1974743663759</v>
      </c>
      <c r="H463">
        <f t="shared" si="39"/>
        <v>-4.3705032128552945</v>
      </c>
    </row>
    <row r="464" spans="1:8" x14ac:dyDescent="0.2">
      <c r="A464" s="1">
        <v>40848</v>
      </c>
      <c r="B464">
        <v>288.24509260000002</v>
      </c>
      <c r="C464" s="2">
        <f t="shared" si="37"/>
        <v>-2.3606212627944396E-2</v>
      </c>
      <c r="D464">
        <v>0.88893961166434998</v>
      </c>
      <c r="E464" s="15">
        <v>0</v>
      </c>
      <c r="F464">
        <f t="shared" si="40"/>
        <v>3047.2082600213894</v>
      </c>
      <c r="G464">
        <f t="shared" si="38"/>
        <v>0</v>
      </c>
      <c r="H464" t="e">
        <f t="shared" si="39"/>
        <v>#NUM!</v>
      </c>
    </row>
    <row r="465" spans="1:8" x14ac:dyDescent="0.2">
      <c r="A465" s="1">
        <v>40849</v>
      </c>
      <c r="B465">
        <v>291.31855350000001</v>
      </c>
      <c r="C465" s="2">
        <f t="shared" si="37"/>
        <v>1.0662665137772361E-2</v>
      </c>
      <c r="D465">
        <v>-1.4516889390867465</v>
      </c>
      <c r="E465" s="15">
        <v>1</v>
      </c>
      <c r="F465">
        <f t="shared" si="40"/>
        <v>261.06444377859532</v>
      </c>
      <c r="G465">
        <f t="shared" si="38"/>
        <v>3.8304718387774184E-3</v>
      </c>
      <c r="H465">
        <f t="shared" si="39"/>
        <v>-4645055467.4111834</v>
      </c>
    </row>
    <row r="466" spans="1:8" x14ac:dyDescent="0.2">
      <c r="A466" s="1">
        <v>40850</v>
      </c>
      <c r="B466">
        <v>297.6349098</v>
      </c>
      <c r="C466" s="2">
        <f t="shared" si="37"/>
        <v>2.1681956827373835E-2</v>
      </c>
      <c r="D466">
        <v>1.0334462863853584</v>
      </c>
      <c r="E466" s="15">
        <v>0</v>
      </c>
      <c r="F466">
        <f t="shared" si="40"/>
        <v>22.368973681612299</v>
      </c>
      <c r="G466">
        <f t="shared" si="38"/>
        <v>0</v>
      </c>
      <c r="H466" t="e">
        <f t="shared" si="39"/>
        <v>#NUM!</v>
      </c>
    </row>
    <row r="467" spans="1:8" x14ac:dyDescent="0.2">
      <c r="A467" s="1">
        <v>40851</v>
      </c>
      <c r="B467">
        <v>296.95744910000002</v>
      </c>
      <c r="C467" s="2">
        <f t="shared" si="37"/>
        <v>-2.2761466403763342E-3</v>
      </c>
      <c r="D467">
        <v>-1.1049788383261911</v>
      </c>
      <c r="E467" s="15">
        <v>0</v>
      </c>
      <c r="F467">
        <f t="shared" si="40"/>
        <v>1.9193713046330882</v>
      </c>
      <c r="G467">
        <f t="shared" si="38"/>
        <v>0</v>
      </c>
      <c r="H467" t="e">
        <f t="shared" si="39"/>
        <v>#NUM!</v>
      </c>
    </row>
    <row r="468" spans="1:8" x14ac:dyDescent="0.2">
      <c r="A468" s="1">
        <v>40854</v>
      </c>
      <c r="B468">
        <v>303.02969430000002</v>
      </c>
      <c r="C468" s="2">
        <f t="shared" si="37"/>
        <v>2.0448199627264366E-2</v>
      </c>
      <c r="D468">
        <v>-9.9836916763339527</v>
      </c>
      <c r="E468" s="15">
        <v>0</v>
      </c>
      <c r="F468">
        <f t="shared" si="40"/>
        <v>0.16740593114094093</v>
      </c>
      <c r="G468">
        <f t="shared" si="38"/>
        <v>0</v>
      </c>
      <c r="H468" t="e">
        <f t="shared" si="39"/>
        <v>#NUM!</v>
      </c>
    </row>
    <row r="469" spans="1:8" x14ac:dyDescent="0.2">
      <c r="A469" s="1">
        <v>40855</v>
      </c>
      <c r="B469">
        <v>305.02719519999999</v>
      </c>
      <c r="C469" s="2">
        <f t="shared" si="37"/>
        <v>6.5917662116058082E-3</v>
      </c>
      <c r="D469">
        <v>-0.67763586370622308</v>
      </c>
      <c r="E469" s="15">
        <v>0</v>
      </c>
      <c r="F469">
        <f t="shared" si="40"/>
        <v>1.7310950645340478E-2</v>
      </c>
      <c r="G469">
        <f t="shared" si="38"/>
        <v>0</v>
      </c>
      <c r="H469" t="e">
        <f t="shared" si="39"/>
        <v>#NUM!</v>
      </c>
    </row>
    <row r="470" spans="1:8" x14ac:dyDescent="0.2">
      <c r="A470" s="1">
        <v>40856</v>
      </c>
      <c r="B470">
        <v>299.35347969999998</v>
      </c>
      <c r="C470" s="2">
        <f t="shared" si="37"/>
        <v>-1.860068737897248E-2</v>
      </c>
      <c r="D470">
        <v>-3.8218062931636041</v>
      </c>
      <c r="E470" s="15">
        <v>0</v>
      </c>
      <c r="F470">
        <f t="shared" si="40"/>
        <v>4.4519618143744871E-3</v>
      </c>
      <c r="G470">
        <f t="shared" si="38"/>
        <v>0</v>
      </c>
      <c r="H470" t="e">
        <f t="shared" si="39"/>
        <v>#NUM!</v>
      </c>
    </row>
    <row r="471" spans="1:8" x14ac:dyDescent="0.2">
      <c r="A471" s="1">
        <v>40857</v>
      </c>
      <c r="B471">
        <v>296.42943270000001</v>
      </c>
      <c r="C471" s="2">
        <f t="shared" si="37"/>
        <v>-9.7678737622503512E-3</v>
      </c>
      <c r="D471">
        <v>-0.47486490347165128</v>
      </c>
      <c r="E471" s="15">
        <v>0</v>
      </c>
      <c r="F471">
        <f t="shared" si="40"/>
        <v>3.3503020972478711E-3</v>
      </c>
      <c r="G471">
        <f t="shared" si="38"/>
        <v>0</v>
      </c>
      <c r="H471" t="e">
        <f t="shared" si="39"/>
        <v>#NUM!</v>
      </c>
    </row>
    <row r="472" spans="1:8" x14ac:dyDescent="0.2">
      <c r="A472" s="1">
        <v>40858</v>
      </c>
      <c r="B472">
        <v>303.03964300000001</v>
      </c>
      <c r="C472" s="2">
        <f t="shared" si="37"/>
        <v>2.2299439835617933E-2</v>
      </c>
      <c r="D472">
        <v>-3.2829369398484656</v>
      </c>
      <c r="E472" s="15">
        <v>0</v>
      </c>
      <c r="F472">
        <f t="shared" si="40"/>
        <v>3.2559203267763957E-3</v>
      </c>
      <c r="G472">
        <f t="shared" si="38"/>
        <v>0</v>
      </c>
      <c r="H472" t="e">
        <f t="shared" si="39"/>
        <v>#NUM!</v>
      </c>
    </row>
    <row r="473" spans="1:8" x14ac:dyDescent="0.2">
      <c r="A473" s="1">
        <v>40861</v>
      </c>
      <c r="B473">
        <v>305.35596190000001</v>
      </c>
      <c r="C473" s="2">
        <f t="shared" si="37"/>
        <v>7.6436167792079887E-3</v>
      </c>
      <c r="D473">
        <v>-0.65722830548419564</v>
      </c>
      <c r="E473" s="15">
        <v>0</v>
      </c>
      <c r="F473">
        <f t="shared" si="40"/>
        <v>3.247834419250827E-3</v>
      </c>
      <c r="G473">
        <f t="shared" si="38"/>
        <v>0</v>
      </c>
      <c r="H473" t="e">
        <f t="shared" si="39"/>
        <v>#NUM!</v>
      </c>
    </row>
    <row r="474" spans="1:8" x14ac:dyDescent="0.2">
      <c r="A474" s="1">
        <v>40862</v>
      </c>
      <c r="B474">
        <v>307.12934130000002</v>
      </c>
      <c r="C474" s="2">
        <f t="shared" si="37"/>
        <v>5.8075807296035968E-3</v>
      </c>
      <c r="D474">
        <v>-0.24020514144543978</v>
      </c>
      <c r="E474" s="15">
        <v>0</v>
      </c>
      <c r="F474">
        <f t="shared" si="40"/>
        <v>3.2471416805981671E-3</v>
      </c>
      <c r="G474">
        <f t="shared" si="38"/>
        <v>0</v>
      </c>
      <c r="H474" t="e">
        <f t="shared" si="39"/>
        <v>#NUM!</v>
      </c>
    </row>
    <row r="475" spans="1:8" x14ac:dyDescent="0.2">
      <c r="A475" s="1">
        <v>40863</v>
      </c>
      <c r="B475">
        <v>304.59384499999999</v>
      </c>
      <c r="C475" s="2">
        <f t="shared" si="37"/>
        <v>-8.2554675149822086E-3</v>
      </c>
      <c r="D475">
        <v>-2.4214985377475235</v>
      </c>
      <c r="E475" s="15">
        <v>1</v>
      </c>
      <c r="F475">
        <f t="shared" si="40"/>
        <v>3.2470823320538793E-3</v>
      </c>
      <c r="G475">
        <f t="shared" si="38"/>
        <v>307.96878481595792</v>
      </c>
      <c r="H475">
        <f t="shared" si="39"/>
        <v>-4.9770133988965108</v>
      </c>
    </row>
    <row r="476" spans="1:8" x14ac:dyDescent="0.2">
      <c r="A476" s="1">
        <v>40864</v>
      </c>
      <c r="B476">
        <v>299.31362360000003</v>
      </c>
      <c r="C476" s="2">
        <f t="shared" si="37"/>
        <v>-1.7335285944467985E-2</v>
      </c>
      <c r="D476">
        <v>1.0998551460601738</v>
      </c>
      <c r="E476" s="15">
        <v>0</v>
      </c>
      <c r="F476">
        <f t="shared" si="40"/>
        <v>12314.36257006809</v>
      </c>
      <c r="G476">
        <f t="shared" si="38"/>
        <v>0</v>
      </c>
      <c r="H476" t="e">
        <f t="shared" si="39"/>
        <v>#NUM!</v>
      </c>
    </row>
    <row r="477" spans="1:8" x14ac:dyDescent="0.2">
      <c r="A477" s="1">
        <v>40865</v>
      </c>
      <c r="B477">
        <v>296.32979269999998</v>
      </c>
      <c r="C477" s="2">
        <f t="shared" si="37"/>
        <v>-9.96891108434011E-3</v>
      </c>
      <c r="D477">
        <v>-0.424935295773337</v>
      </c>
      <c r="E477" s="15">
        <v>1</v>
      </c>
      <c r="F477">
        <f t="shared" si="40"/>
        <v>1055.0032775374086</v>
      </c>
      <c r="G477">
        <f t="shared" si="38"/>
        <v>9.4786435387594491E-4</v>
      </c>
      <c r="H477">
        <f t="shared" si="39"/>
        <v>-1238840045170.8252</v>
      </c>
    </row>
    <row r="478" spans="1:8" x14ac:dyDescent="0.2">
      <c r="A478" s="1">
        <v>40868</v>
      </c>
      <c r="B478">
        <v>289.38581090000002</v>
      </c>
      <c r="C478" s="2">
        <f t="shared" si="37"/>
        <v>-2.3433289433134885E-2</v>
      </c>
      <c r="D478">
        <v>1.3506368182925816</v>
      </c>
      <c r="E478" s="15">
        <v>0</v>
      </c>
      <c r="F478">
        <f t="shared" si="40"/>
        <v>90.387572928817775</v>
      </c>
      <c r="G478">
        <f t="shared" si="38"/>
        <v>0</v>
      </c>
      <c r="H478" t="e">
        <f t="shared" si="39"/>
        <v>#NUM!</v>
      </c>
    </row>
    <row r="479" spans="1:8" x14ac:dyDescent="0.2">
      <c r="A479" s="1">
        <v>40869</v>
      </c>
      <c r="B479">
        <v>288.91754859999998</v>
      </c>
      <c r="C479" s="2">
        <f t="shared" si="37"/>
        <v>-1.6181246016994987E-3</v>
      </c>
      <c r="D479">
        <v>-0.93094761167369633</v>
      </c>
      <c r="E479" s="15">
        <v>1</v>
      </c>
      <c r="F479">
        <f t="shared" si="40"/>
        <v>7.7466841510037519</v>
      </c>
      <c r="G479">
        <f t="shared" si="38"/>
        <v>0.12908748833788819</v>
      </c>
      <c r="H479">
        <f t="shared" si="39"/>
        <v>-3599.5557321017941</v>
      </c>
    </row>
    <row r="480" spans="1:8" x14ac:dyDescent="0.2">
      <c r="A480" s="1">
        <v>40870</v>
      </c>
      <c r="B480">
        <v>283.99102640000001</v>
      </c>
      <c r="C480" s="2">
        <f t="shared" si="37"/>
        <v>-1.7051654438687721E-2</v>
      </c>
      <c r="D480">
        <v>9.537911864623128</v>
      </c>
      <c r="E480" s="15">
        <v>0</v>
      </c>
      <c r="F480">
        <f t="shared" si="40"/>
        <v>0.66880903199288155</v>
      </c>
      <c r="G480">
        <f t="shared" si="38"/>
        <v>0</v>
      </c>
      <c r="H480" t="e">
        <f t="shared" si="39"/>
        <v>#NUM!</v>
      </c>
    </row>
    <row r="481" spans="1:8" x14ac:dyDescent="0.2">
      <c r="A481" s="1">
        <v>40872</v>
      </c>
      <c r="B481">
        <v>280.44930269999998</v>
      </c>
      <c r="C481" s="2">
        <f t="shared" si="37"/>
        <v>-1.2471252155029481E-2</v>
      </c>
      <c r="D481">
        <v>-0.26861922988926951</v>
      </c>
      <c r="E481" s="15">
        <v>0</v>
      </c>
      <c r="F481">
        <f t="shared" si="40"/>
        <v>6.0267329681985254E-2</v>
      </c>
      <c r="G481">
        <f t="shared" si="38"/>
        <v>0</v>
      </c>
      <c r="H481" t="e">
        <f t="shared" si="39"/>
        <v>#NUM!</v>
      </c>
    </row>
    <row r="482" spans="1:8" x14ac:dyDescent="0.2">
      <c r="A482" s="1">
        <v>40875</v>
      </c>
      <c r="B482">
        <v>292.99726729999998</v>
      </c>
      <c r="C482" s="2">
        <f t="shared" si="37"/>
        <v>4.4742363340524012E-2</v>
      </c>
      <c r="D482">
        <v>-4.5876400207720955</v>
      </c>
      <c r="E482" s="15">
        <v>0</v>
      </c>
      <c r="F482">
        <f t="shared" si="40"/>
        <v>8.1321355045742578E-3</v>
      </c>
      <c r="G482">
        <f t="shared" si="38"/>
        <v>0</v>
      </c>
      <c r="H482" t="e">
        <f t="shared" si="39"/>
        <v>#NUM!</v>
      </c>
    </row>
    <row r="483" spans="1:8" x14ac:dyDescent="0.2">
      <c r="A483" s="1">
        <v>40876</v>
      </c>
      <c r="B483">
        <v>290.3770849</v>
      </c>
      <c r="C483" s="2">
        <f t="shared" si="37"/>
        <v>-8.9426854528208647E-3</v>
      </c>
      <c r="D483">
        <v>-1.1998706546804447</v>
      </c>
      <c r="E483" s="15">
        <v>0</v>
      </c>
      <c r="F483">
        <f t="shared" si="40"/>
        <v>3.6655912043321742E-3</v>
      </c>
      <c r="G483">
        <f t="shared" si="38"/>
        <v>0</v>
      </c>
      <c r="H483" t="e">
        <f t="shared" si="39"/>
        <v>#NUM!</v>
      </c>
    </row>
    <row r="484" spans="1:8" x14ac:dyDescent="0.2">
      <c r="A484" s="1">
        <v>40877</v>
      </c>
      <c r="B484">
        <v>298.57637840000001</v>
      </c>
      <c r="C484" s="2">
        <f t="shared" si="37"/>
        <v>2.8236709872694263E-2</v>
      </c>
      <c r="D484">
        <v>-4.1575201902899677</v>
      </c>
      <c r="E484" s="15">
        <v>0</v>
      </c>
      <c r="F484">
        <f t="shared" si="40"/>
        <v>3.2829318836794671E-3</v>
      </c>
      <c r="G484">
        <f t="shared" si="38"/>
        <v>0</v>
      </c>
      <c r="H484" t="e">
        <f t="shared" si="39"/>
        <v>#NUM!</v>
      </c>
    </row>
    <row r="485" spans="1:8" x14ac:dyDescent="0.2">
      <c r="A485" s="1">
        <v>40878</v>
      </c>
      <c r="B485">
        <v>305.73953820000003</v>
      </c>
      <c r="C485" s="2">
        <f t="shared" si="37"/>
        <v>2.3991046573696457E-2</v>
      </c>
      <c r="D485">
        <v>-0.15035970260485229</v>
      </c>
      <c r="E485" s="15">
        <v>0</v>
      </c>
      <c r="F485">
        <f t="shared" si="40"/>
        <v>3.2501485626510707E-3</v>
      </c>
      <c r="G485">
        <f t="shared" si="38"/>
        <v>0</v>
      </c>
      <c r="H485" t="e">
        <f t="shared" si="39"/>
        <v>#NUM!</v>
      </c>
    </row>
    <row r="486" spans="1:8" x14ac:dyDescent="0.2">
      <c r="A486" s="1">
        <v>40879</v>
      </c>
      <c r="B486">
        <v>309.0222278</v>
      </c>
      <c r="C486" s="2">
        <f t="shared" si="37"/>
        <v>1.073688283604521E-2</v>
      </c>
      <c r="D486">
        <v>-0.55246292390524465</v>
      </c>
      <c r="E486" s="15">
        <v>0</v>
      </c>
      <c r="F486">
        <f t="shared" si="40"/>
        <v>3.2473399386880697E-3</v>
      </c>
      <c r="G486">
        <f t="shared" si="38"/>
        <v>0</v>
      </c>
      <c r="H486" t="e">
        <f t="shared" si="39"/>
        <v>#NUM!</v>
      </c>
    </row>
    <row r="487" spans="1:8" x14ac:dyDescent="0.2">
      <c r="A487" s="1">
        <v>40882</v>
      </c>
      <c r="B487">
        <v>311.65736420000002</v>
      </c>
      <c r="C487" s="2">
        <f t="shared" si="37"/>
        <v>8.5273361038141534E-3</v>
      </c>
      <c r="D487">
        <v>-0.20579033654100246</v>
      </c>
      <c r="E487" s="15">
        <v>0</v>
      </c>
      <c r="F487">
        <f t="shared" si="40"/>
        <v>3.2470993172891969E-3</v>
      </c>
      <c r="G487">
        <f t="shared" si="38"/>
        <v>0</v>
      </c>
      <c r="H487" t="e">
        <f t="shared" si="39"/>
        <v>#NUM!</v>
      </c>
    </row>
    <row r="488" spans="1:8" x14ac:dyDescent="0.2">
      <c r="A488" s="1">
        <v>40883</v>
      </c>
      <c r="B488">
        <v>310.72086990000003</v>
      </c>
      <c r="C488" s="2">
        <f t="shared" si="37"/>
        <v>-3.0048842336965146E-3</v>
      </c>
      <c r="D488">
        <v>-1.3523825256931614</v>
      </c>
      <c r="E488" s="15">
        <v>0</v>
      </c>
      <c r="F488">
        <f t="shared" si="40"/>
        <v>3.247078702689892E-3</v>
      </c>
      <c r="G488">
        <f t="shared" si="38"/>
        <v>0</v>
      </c>
      <c r="H488" t="e">
        <f t="shared" si="39"/>
        <v>#NUM!</v>
      </c>
    </row>
    <row r="489" spans="1:8" x14ac:dyDescent="0.2">
      <c r="A489" s="1">
        <v>40884</v>
      </c>
      <c r="B489">
        <v>310.53159929999998</v>
      </c>
      <c r="C489" s="2">
        <f t="shared" si="37"/>
        <v>-6.0913385078046548E-4</v>
      </c>
      <c r="D489">
        <v>-0.79728541820357313</v>
      </c>
      <c r="E489" s="15">
        <v>1</v>
      </c>
      <c r="F489">
        <f t="shared" si="40"/>
        <v>3.2470769365888449E-3</v>
      </c>
      <c r="G489">
        <f t="shared" si="38"/>
        <v>307.96929654846156</v>
      </c>
      <c r="H489">
        <f t="shared" si="39"/>
        <v>-4.9770148421753673</v>
      </c>
    </row>
    <row r="490" spans="1:8" x14ac:dyDescent="0.2">
      <c r="A490" s="1">
        <v>40885</v>
      </c>
      <c r="B490">
        <v>306.87528209999999</v>
      </c>
      <c r="C490" s="2">
        <f t="shared" si="37"/>
        <v>-1.1774380476067672E-2</v>
      </c>
      <c r="D490">
        <v>18.32970965409573</v>
      </c>
      <c r="E490" s="15">
        <v>0</v>
      </c>
      <c r="F490">
        <f t="shared" si="40"/>
        <v>12314.403494105864</v>
      </c>
      <c r="G490">
        <f t="shared" si="38"/>
        <v>0</v>
      </c>
      <c r="H490" t="e">
        <f t="shared" si="39"/>
        <v>#NUM!</v>
      </c>
    </row>
    <row r="491" spans="1:8" x14ac:dyDescent="0.2">
      <c r="A491" s="1">
        <v>40886</v>
      </c>
      <c r="B491">
        <v>312.53907980000002</v>
      </c>
      <c r="C491" s="2">
        <f t="shared" si="37"/>
        <v>1.8456350284199161E-2</v>
      </c>
      <c r="D491">
        <v>-2.5675007548561135</v>
      </c>
      <c r="E491" s="15">
        <v>0</v>
      </c>
      <c r="F491">
        <f t="shared" si="40"/>
        <v>1055.0067835956586</v>
      </c>
      <c r="G491">
        <f t="shared" si="38"/>
        <v>0</v>
      </c>
      <c r="H491" t="e">
        <f t="shared" si="39"/>
        <v>#NUM!</v>
      </c>
    </row>
    <row r="492" spans="1:8" x14ac:dyDescent="0.2">
      <c r="A492" s="1">
        <v>40889</v>
      </c>
      <c r="B492">
        <v>311.52784759999997</v>
      </c>
      <c r="C492" s="2">
        <f t="shared" si="37"/>
        <v>-3.2355384185784363E-3</v>
      </c>
      <c r="D492">
        <v>-1.1753075970468789</v>
      </c>
      <c r="E492" s="15">
        <v>0</v>
      </c>
      <c r="F492">
        <f t="shared" si="40"/>
        <v>90.387873184395289</v>
      </c>
      <c r="G492">
        <f t="shared" si="38"/>
        <v>0</v>
      </c>
      <c r="H492" t="e">
        <f t="shared" si="39"/>
        <v>#NUM!</v>
      </c>
    </row>
    <row r="493" spans="1:8" x14ac:dyDescent="0.2">
      <c r="A493" s="1">
        <v>40890</v>
      </c>
      <c r="B493">
        <v>311.64741550000002</v>
      </c>
      <c r="C493" s="2">
        <f t="shared" si="37"/>
        <v>3.838112737631536E-4</v>
      </c>
      <c r="D493">
        <v>-1.1186236181153999</v>
      </c>
      <c r="E493" s="15">
        <v>0</v>
      </c>
      <c r="F493">
        <f t="shared" si="40"/>
        <v>7.746709874602935</v>
      </c>
      <c r="G493">
        <f t="shared" si="38"/>
        <v>0</v>
      </c>
      <c r="H493" t="e">
        <f t="shared" si="39"/>
        <v>#NUM!</v>
      </c>
    </row>
    <row r="494" spans="1:8" x14ac:dyDescent="0.2">
      <c r="A494" s="1">
        <v>40891</v>
      </c>
      <c r="B494">
        <v>307.88150949999999</v>
      </c>
      <c r="C494" s="2">
        <f t="shared" si="37"/>
        <v>-1.2083867257355867E-2</v>
      </c>
      <c r="D494">
        <v>-32.483877841516218</v>
      </c>
      <c r="E494" s="15">
        <v>0</v>
      </c>
      <c r="F494">
        <f t="shared" si="40"/>
        <v>0.66664768684839448</v>
      </c>
      <c r="G494">
        <f t="shared" si="38"/>
        <v>0</v>
      </c>
      <c r="H494" t="e">
        <f t="shared" si="39"/>
        <v>#NUM!</v>
      </c>
    </row>
    <row r="495" spans="1:8" x14ac:dyDescent="0.2">
      <c r="A495" s="1">
        <v>40892</v>
      </c>
      <c r="B495">
        <v>308.61377979999997</v>
      </c>
      <c r="C495" s="2">
        <f t="shared" si="37"/>
        <v>2.378415973044922E-3</v>
      </c>
      <c r="D495">
        <v>-1.1968257282532708</v>
      </c>
      <c r="E495" s="15">
        <v>1</v>
      </c>
      <c r="F495">
        <f t="shared" si="40"/>
        <v>6.0082162176842487E-2</v>
      </c>
      <c r="G495">
        <f t="shared" si="38"/>
        <v>16.643875049913412</v>
      </c>
      <c r="H495">
        <f t="shared" si="39"/>
        <v>-2.442521924667306</v>
      </c>
    </row>
    <row r="496" spans="1:8" x14ac:dyDescent="0.2">
      <c r="A496" s="1">
        <v>40893</v>
      </c>
      <c r="B496">
        <v>311.81178340000002</v>
      </c>
      <c r="C496" s="2">
        <f t="shared" si="37"/>
        <v>1.0362478312123799E-2</v>
      </c>
      <c r="D496">
        <v>3.3568822399293898</v>
      </c>
      <c r="E496" s="15">
        <v>0</v>
      </c>
      <c r="F496">
        <f t="shared" si="40"/>
        <v>35.975373140739521</v>
      </c>
      <c r="G496">
        <f t="shared" si="38"/>
        <v>0</v>
      </c>
      <c r="H496" t="e">
        <f t="shared" si="39"/>
        <v>#NUM!</v>
      </c>
    </row>
    <row r="497" spans="1:8" x14ac:dyDescent="0.2">
      <c r="A497" s="1">
        <v>40896</v>
      </c>
      <c r="B497">
        <v>309.75449859999998</v>
      </c>
      <c r="C497" s="2">
        <f t="shared" si="37"/>
        <v>-6.5978417414742493E-3</v>
      </c>
      <c r="D497">
        <v>-1.6367049988181848</v>
      </c>
      <c r="E497" s="15">
        <v>0</v>
      </c>
      <c r="F497">
        <f t="shared" si="40"/>
        <v>3.0850634423505592</v>
      </c>
      <c r="G497">
        <f t="shared" si="38"/>
        <v>0</v>
      </c>
      <c r="H497" t="e">
        <f t="shared" si="39"/>
        <v>#NUM!</v>
      </c>
    </row>
    <row r="498" spans="1:8" x14ac:dyDescent="0.2">
      <c r="A498" s="1">
        <v>40897</v>
      </c>
      <c r="B498">
        <v>314.00856429999999</v>
      </c>
      <c r="C498" s="2">
        <f t="shared" si="37"/>
        <v>1.3733668822332359E-2</v>
      </c>
      <c r="D498">
        <v>-3.0815395943800938</v>
      </c>
      <c r="E498" s="15">
        <v>0</v>
      </c>
      <c r="F498">
        <f t="shared" si="40"/>
        <v>0.26727350918891701</v>
      </c>
      <c r="G498">
        <f t="shared" si="38"/>
        <v>0</v>
      </c>
      <c r="H498" t="e">
        <f t="shared" si="39"/>
        <v>#NUM!</v>
      </c>
    </row>
    <row r="499" spans="1:8" x14ac:dyDescent="0.2">
      <c r="A499" s="1">
        <v>40898</v>
      </c>
      <c r="B499">
        <v>311.74205080000002</v>
      </c>
      <c r="C499" s="2">
        <f t="shared" si="37"/>
        <v>-7.2179989900994354E-3</v>
      </c>
      <c r="D499">
        <v>-1.52556961169489</v>
      </c>
      <c r="E499" s="15">
        <v>0</v>
      </c>
      <c r="F499">
        <f t="shared" si="40"/>
        <v>2.5866840165791098E-2</v>
      </c>
      <c r="G499">
        <f t="shared" si="38"/>
        <v>0</v>
      </c>
      <c r="H499" t="e">
        <f t="shared" si="39"/>
        <v>#NUM!</v>
      </c>
    </row>
    <row r="500" spans="1:8" x14ac:dyDescent="0.2">
      <c r="A500" s="1">
        <v>40899</v>
      </c>
      <c r="B500">
        <v>313.67482380000001</v>
      </c>
      <c r="C500" s="2">
        <f t="shared" si="37"/>
        <v>6.1999110964981096E-3</v>
      </c>
      <c r="D500">
        <v>-1.8589515051196619</v>
      </c>
      <c r="E500" s="15">
        <v>0</v>
      </c>
      <c r="F500">
        <f t="shared" si="40"/>
        <v>5.1849649262652158E-3</v>
      </c>
      <c r="G500">
        <f t="shared" si="38"/>
        <v>0</v>
      </c>
      <c r="H500" t="e">
        <f t="shared" si="39"/>
        <v>#NUM!</v>
      </c>
    </row>
    <row r="501" spans="1:8" x14ac:dyDescent="0.2">
      <c r="A501" s="1">
        <v>40900</v>
      </c>
      <c r="B501">
        <v>315.3883889</v>
      </c>
      <c r="C501" s="2">
        <f t="shared" si="37"/>
        <v>5.4628710052055584E-3</v>
      </c>
      <c r="D501">
        <v>-0.11887913872004599</v>
      </c>
      <c r="E501" s="15">
        <v>1</v>
      </c>
      <c r="F501">
        <f t="shared" si="40"/>
        <v>3.4131001921458046E-3</v>
      </c>
      <c r="G501">
        <f t="shared" si="38"/>
        <v>292.98876203552157</v>
      </c>
      <c r="H501">
        <f t="shared" si="39"/>
        <v>-4.9337019256250825</v>
      </c>
    </row>
    <row r="502" spans="1:8" x14ac:dyDescent="0.2">
      <c r="A502" s="1">
        <v>40904</v>
      </c>
      <c r="B502">
        <v>318.93011209999997</v>
      </c>
      <c r="C502" s="2">
        <f t="shared" si="37"/>
        <v>1.1229719687375525E-2</v>
      </c>
      <c r="D502">
        <v>1.055644308034136</v>
      </c>
      <c r="E502" s="15">
        <v>0</v>
      </c>
      <c r="F502">
        <f t="shared" si="40"/>
        <v>11145.523594453287</v>
      </c>
      <c r="G502">
        <f t="shared" si="38"/>
        <v>0</v>
      </c>
      <c r="H502" t="e">
        <f t="shared" si="39"/>
        <v>#NUM!</v>
      </c>
    </row>
    <row r="503" spans="1:8" x14ac:dyDescent="0.2">
      <c r="A503" s="1">
        <v>40905</v>
      </c>
      <c r="B503">
        <v>318.65615550000001</v>
      </c>
      <c r="C503" s="2">
        <f t="shared" si="37"/>
        <v>-8.5898630955882926E-4</v>
      </c>
      <c r="D503">
        <v>-1.0764922307477098</v>
      </c>
      <c r="E503" s="15">
        <v>0</v>
      </c>
      <c r="F503">
        <f t="shared" si="40"/>
        <v>954.86610250996625</v>
      </c>
      <c r="G503">
        <f t="shared" si="38"/>
        <v>0</v>
      </c>
      <c r="H503" t="e">
        <f t="shared" si="39"/>
        <v>#NUM!</v>
      </c>
    </row>
    <row r="504" spans="1:8" x14ac:dyDescent="0.2">
      <c r="A504" s="1">
        <v>40906</v>
      </c>
      <c r="B504">
        <v>320.00109780000003</v>
      </c>
      <c r="C504" s="2">
        <f t="shared" si="37"/>
        <v>4.2206694482009267E-3</v>
      </c>
      <c r="D504">
        <v>-5.9135468181892676</v>
      </c>
      <c r="E504" s="15">
        <v>1</v>
      </c>
      <c r="F504">
        <f t="shared" si="40"/>
        <v>81.808586286496734</v>
      </c>
      <c r="G504">
        <f t="shared" si="38"/>
        <v>1.2223655796935086E-2</v>
      </c>
      <c r="H504">
        <f t="shared" si="39"/>
        <v>-44791490.462128937</v>
      </c>
    </row>
    <row r="505" spans="1:8" x14ac:dyDescent="0.2">
      <c r="A505" s="1">
        <v>40907</v>
      </c>
      <c r="B505">
        <v>321.74457039999999</v>
      </c>
      <c r="C505" s="2">
        <f t="shared" si="37"/>
        <v>5.4483331838118499E-3</v>
      </c>
      <c r="D505">
        <v>0.29086943450030628</v>
      </c>
      <c r="E505" s="15">
        <v>1</v>
      </c>
      <c r="F505">
        <f t="shared" si="40"/>
        <v>7.0117216544898699</v>
      </c>
      <c r="G505">
        <f t="shared" si="38"/>
        <v>0.14261832532380436</v>
      </c>
      <c r="H505">
        <f t="shared" si="39"/>
        <v>-2415.4309005106907</v>
      </c>
    </row>
    <row r="506" spans="1:8" x14ac:dyDescent="0.2">
      <c r="A506" s="1">
        <v>40911</v>
      </c>
      <c r="B506">
        <v>331.46315370000002</v>
      </c>
      <c r="C506" s="2">
        <f t="shared" si="37"/>
        <v>3.0205896832750514E-2</v>
      </c>
      <c r="D506">
        <v>4.5440619752291624</v>
      </c>
      <c r="E506" s="15">
        <v>0</v>
      </c>
      <c r="F506">
        <f t="shared" si="40"/>
        <v>0.60632040563218315</v>
      </c>
      <c r="G506">
        <f t="shared" si="38"/>
        <v>0</v>
      </c>
      <c r="H506" t="e">
        <f t="shared" si="39"/>
        <v>#NUM!</v>
      </c>
    </row>
    <row r="507" spans="1:8" x14ac:dyDescent="0.2">
      <c r="A507" s="1">
        <v>40912</v>
      </c>
      <c r="B507">
        <v>332.89281299999999</v>
      </c>
      <c r="C507" s="2">
        <f t="shared" si="37"/>
        <v>4.3131771481723178E-3</v>
      </c>
      <c r="D507">
        <v>-0.85720744621309208</v>
      </c>
      <c r="E507" s="15">
        <v>0</v>
      </c>
      <c r="F507">
        <f t="shared" si="40"/>
        <v>5.4913782576136626E-2</v>
      </c>
      <c r="G507">
        <f t="shared" si="38"/>
        <v>0</v>
      </c>
      <c r="H507" t="e">
        <f t="shared" si="39"/>
        <v>#NUM!</v>
      </c>
    </row>
    <row r="508" spans="1:8" x14ac:dyDescent="0.2">
      <c r="A508" s="1">
        <v>40913</v>
      </c>
      <c r="B508">
        <v>328.27509880000002</v>
      </c>
      <c r="C508" s="2">
        <f t="shared" si="37"/>
        <v>-1.3871474599843543E-2</v>
      </c>
      <c r="D508">
        <v>-4.2160688335561396</v>
      </c>
      <c r="E508" s="15">
        <v>0</v>
      </c>
      <c r="F508">
        <f t="shared" si="40"/>
        <v>7.673484574257667E-3</v>
      </c>
      <c r="G508">
        <f t="shared" si="38"/>
        <v>0</v>
      </c>
      <c r="H508" t="e">
        <f t="shared" si="39"/>
        <v>#NUM!</v>
      </c>
    </row>
    <row r="509" spans="1:8" x14ac:dyDescent="0.2">
      <c r="A509" s="1">
        <v>40914</v>
      </c>
      <c r="B509">
        <v>323.7968808</v>
      </c>
      <c r="C509" s="2">
        <f t="shared" si="37"/>
        <v>-1.3641662180195881E-2</v>
      </c>
      <c r="D509">
        <v>-1.6567266730982844E-2</v>
      </c>
      <c r="E509" s="15">
        <v>1</v>
      </c>
      <c r="F509">
        <f t="shared" si="40"/>
        <v>3.6262975039647186E-3</v>
      </c>
      <c r="G509">
        <f t="shared" si="38"/>
        <v>275.76336439761928</v>
      </c>
      <c r="H509">
        <f t="shared" si="39"/>
        <v>-4.8810731380890946</v>
      </c>
    </row>
    <row r="510" spans="1:8" x14ac:dyDescent="0.2">
      <c r="A510" s="1">
        <v>40917</v>
      </c>
      <c r="B510">
        <v>310.0683113</v>
      </c>
      <c r="C510" s="2">
        <f t="shared" si="37"/>
        <v>-4.2398708307754621E-2</v>
      </c>
      <c r="D510">
        <v>2.1080309530979613</v>
      </c>
      <c r="E510" s="15">
        <v>0</v>
      </c>
      <c r="F510">
        <f t="shared" si="40"/>
        <v>9873.5130651071486</v>
      </c>
      <c r="G510">
        <f t="shared" si="38"/>
        <v>0</v>
      </c>
      <c r="H510" t="e">
        <f t="shared" si="39"/>
        <v>#NUM!</v>
      </c>
    </row>
    <row r="511" spans="1:8" x14ac:dyDescent="0.2">
      <c r="A511" s="1">
        <v>40918</v>
      </c>
      <c r="B511">
        <v>310.40705709999997</v>
      </c>
      <c r="C511" s="2">
        <f t="shared" si="37"/>
        <v>1.0924876475759027E-3</v>
      </c>
      <c r="D511">
        <v>-1.0257670030805182</v>
      </c>
      <c r="E511" s="15">
        <v>1</v>
      </c>
      <c r="F511">
        <f t="shared" si="40"/>
        <v>845.88997862011661</v>
      </c>
      <c r="G511">
        <f t="shared" si="38"/>
        <v>1.1821868390393749E-3</v>
      </c>
      <c r="H511">
        <f t="shared" si="39"/>
        <v>-511982974721.26788</v>
      </c>
    </row>
    <row r="512" spans="1:8" x14ac:dyDescent="0.2">
      <c r="A512" s="1">
        <v>40919</v>
      </c>
      <c r="B512">
        <v>311.81178340000002</v>
      </c>
      <c r="C512" s="2">
        <f t="shared" si="37"/>
        <v>4.5254328723187071E-3</v>
      </c>
      <c r="D512">
        <v>3.1423194874194622</v>
      </c>
      <c r="E512" s="15">
        <v>1</v>
      </c>
      <c r="F512">
        <f t="shared" si="40"/>
        <v>72.472346473020593</v>
      </c>
      <c r="G512">
        <f t="shared" si="38"/>
        <v>1.3798366531050181E-2</v>
      </c>
      <c r="H512">
        <f t="shared" si="39"/>
        <v>-27586031.83645935</v>
      </c>
    </row>
    <row r="513" spans="1:8" x14ac:dyDescent="0.2">
      <c r="A513" s="1">
        <v>40920</v>
      </c>
      <c r="B513">
        <v>313.6449164</v>
      </c>
      <c r="C513" s="2">
        <f t="shared" si="37"/>
        <v>5.8789728213971505E-3</v>
      </c>
      <c r="D513">
        <v>0.29909623836380689</v>
      </c>
      <c r="E513" s="15">
        <v>0</v>
      </c>
      <c r="F513">
        <f t="shared" si="40"/>
        <v>6.2118694240530079</v>
      </c>
      <c r="G513">
        <f t="shared" si="38"/>
        <v>0</v>
      </c>
      <c r="H513" t="e">
        <f t="shared" si="39"/>
        <v>#NUM!</v>
      </c>
    </row>
    <row r="514" spans="1:8" x14ac:dyDescent="0.2">
      <c r="A514" s="1">
        <v>40921</v>
      </c>
      <c r="B514">
        <v>311.328598</v>
      </c>
      <c r="C514" s="2">
        <f t="shared" si="37"/>
        <v>-7.3851616234899709E-3</v>
      </c>
      <c r="D514">
        <v>-2.2561993136982852</v>
      </c>
      <c r="E514" s="15">
        <v>0</v>
      </c>
      <c r="F514">
        <f t="shared" si="40"/>
        <v>0.53515430748442017</v>
      </c>
      <c r="G514">
        <f t="shared" si="38"/>
        <v>0</v>
      </c>
      <c r="H514" t="e">
        <f t="shared" si="39"/>
        <v>#NUM!</v>
      </c>
    </row>
    <row r="515" spans="1:8" x14ac:dyDescent="0.2">
      <c r="A515" s="1">
        <v>40925</v>
      </c>
      <c r="B515">
        <v>313.11690049999999</v>
      </c>
      <c r="C515" s="2">
        <f t="shared" si="37"/>
        <v>5.7440996795289139E-3</v>
      </c>
      <c r="D515">
        <v>-1.7777892986469876</v>
      </c>
      <c r="E515" s="15">
        <v>1</v>
      </c>
      <c r="F515">
        <f t="shared" si="40"/>
        <v>4.8816816120603908E-2</v>
      </c>
      <c r="G515">
        <f t="shared" si="38"/>
        <v>20.484744386636354</v>
      </c>
      <c r="H515">
        <f t="shared" si="39"/>
        <v>-2.6228667772701901</v>
      </c>
    </row>
    <row r="516" spans="1:8" x14ac:dyDescent="0.2">
      <c r="A516" s="1">
        <v>40926</v>
      </c>
      <c r="B516">
        <v>315.2738253</v>
      </c>
      <c r="C516" s="2">
        <f t="shared" ref="C516:C579" si="41">(B516-B515)/B515</f>
        <v>6.8885607789159024E-3</v>
      </c>
      <c r="D516">
        <v>0.19924116279974588</v>
      </c>
      <c r="E516" s="15">
        <v>1</v>
      </c>
      <c r="F516">
        <f t="shared" si="40"/>
        <v>54.489963977855069</v>
      </c>
      <c r="G516">
        <f t="shared" si="38"/>
        <v>1.8352003323151466E-2</v>
      </c>
      <c r="H516">
        <f t="shared" si="39"/>
        <v>-8815884.9147979394</v>
      </c>
    </row>
    <row r="517" spans="1:8" x14ac:dyDescent="0.2">
      <c r="A517" s="1">
        <v>40927</v>
      </c>
      <c r="B517">
        <v>318.59139720000002</v>
      </c>
      <c r="C517" s="2">
        <f t="shared" si="41"/>
        <v>1.0522826932566225E-2</v>
      </c>
      <c r="D517">
        <v>0.52757989227210833</v>
      </c>
      <c r="E517" s="15">
        <v>0</v>
      </c>
      <c r="F517">
        <f t="shared" si="40"/>
        <v>4.6712955697588194</v>
      </c>
      <c r="G517">
        <f t="shared" si="38"/>
        <v>0</v>
      </c>
      <c r="H517" t="e">
        <f t="shared" si="39"/>
        <v>#NUM!</v>
      </c>
    </row>
    <row r="518" spans="1:8" x14ac:dyDescent="0.2">
      <c r="A518" s="1">
        <v>40928</v>
      </c>
      <c r="B518">
        <v>291.90137950000002</v>
      </c>
      <c r="C518" s="2">
        <f t="shared" si="41"/>
        <v>-8.3775073446961223E-2</v>
      </c>
      <c r="D518">
        <v>-8.961270672208121</v>
      </c>
      <c r="E518" s="15">
        <v>0</v>
      </c>
      <c r="F518">
        <f t="shared" si="40"/>
        <v>0.40316973398145839</v>
      </c>
      <c r="G518">
        <f t="shared" si="38"/>
        <v>0</v>
      </c>
      <c r="H518" t="e">
        <f t="shared" si="39"/>
        <v>#NUM!</v>
      </c>
    </row>
    <row r="519" spans="1:8" x14ac:dyDescent="0.2">
      <c r="A519" s="1">
        <v>40931</v>
      </c>
      <c r="B519">
        <v>291.66724809999999</v>
      </c>
      <c r="C519" s="2">
        <f t="shared" si="41"/>
        <v>-8.0209076230153221E-4</v>
      </c>
      <c r="D519">
        <v>-0.99042566327549275</v>
      </c>
      <c r="E519" s="15">
        <v>1</v>
      </c>
      <c r="F519">
        <f t="shared" si="40"/>
        <v>3.7509388311023413E-2</v>
      </c>
      <c r="G519">
        <f t="shared" si="38"/>
        <v>26.659992205367846</v>
      </c>
      <c r="H519">
        <f t="shared" si="39"/>
        <v>-2.8517220157248793</v>
      </c>
    </row>
    <row r="520" spans="1:8" x14ac:dyDescent="0.2">
      <c r="A520" s="1">
        <v>40932</v>
      </c>
      <c r="B520">
        <v>289.38083660000001</v>
      </c>
      <c r="C520" s="2">
        <f t="shared" si="41"/>
        <v>-7.8391095157042609E-3</v>
      </c>
      <c r="D520">
        <v>8.773344718758004</v>
      </c>
      <c r="E520" s="15">
        <v>1</v>
      </c>
      <c r="F520">
        <f t="shared" si="40"/>
        <v>92.288492839754582</v>
      </c>
      <c r="G520">
        <f t="shared" ref="G520:G583" si="42">E520/F520</f>
        <v>1.0835587072988104E-2</v>
      </c>
      <c r="H520">
        <f t="shared" ref="H520:H583" si="43">-LOG(G520^2)-(F520^2)/(G520^2)</f>
        <v>-72542111.218961135</v>
      </c>
    </row>
    <row r="521" spans="1:8" x14ac:dyDescent="0.2">
      <c r="A521" s="1">
        <v>40933</v>
      </c>
      <c r="B521">
        <v>283.682188</v>
      </c>
      <c r="C521" s="2">
        <f t="shared" si="41"/>
        <v>-1.9692556932776564E-2</v>
      </c>
      <c r="D521">
        <v>1.5120910600019084</v>
      </c>
      <c r="E521" s="15">
        <v>0</v>
      </c>
      <c r="F521">
        <f t="shared" ref="F521:F584" si="44" xml:space="preserve"> $K$5 + $K$6 * G520 ^ 2 + $K$7 * F520</f>
        <v>7.9095556600543153</v>
      </c>
      <c r="G521">
        <f t="shared" si="42"/>
        <v>0</v>
      </c>
      <c r="H521" t="e">
        <f t="shared" si="43"/>
        <v>#NUM!</v>
      </c>
    </row>
    <row r="522" spans="1:8" x14ac:dyDescent="0.2">
      <c r="A522" s="1">
        <v>40934</v>
      </c>
      <c r="B522">
        <v>282.98977339999999</v>
      </c>
      <c r="C522" s="2">
        <f t="shared" si="41"/>
        <v>-2.4408109824646672E-3</v>
      </c>
      <c r="D522">
        <v>-0.87605413604760751</v>
      </c>
      <c r="E522" s="15">
        <v>0</v>
      </c>
      <c r="F522">
        <f t="shared" si="44"/>
        <v>0.68059906703029582</v>
      </c>
      <c r="G522">
        <f t="shared" si="42"/>
        <v>0</v>
      </c>
      <c r="H522" t="e">
        <f t="shared" si="43"/>
        <v>#NUM!</v>
      </c>
    </row>
    <row r="523" spans="1:8" x14ac:dyDescent="0.2">
      <c r="A523" s="1">
        <v>40935</v>
      </c>
      <c r="B523">
        <v>288.90759989999998</v>
      </c>
      <c r="C523" s="2">
        <f t="shared" si="41"/>
        <v>2.0911803380383179E-2</v>
      </c>
      <c r="D523">
        <v>-9.5675636215250837</v>
      </c>
      <c r="E523" s="15">
        <v>0</v>
      </c>
      <c r="F523">
        <f t="shared" si="44"/>
        <v>6.1277409621782117E-2</v>
      </c>
      <c r="G523">
        <f t="shared" si="42"/>
        <v>0</v>
      </c>
      <c r="H523" t="e">
        <f t="shared" si="43"/>
        <v>#NUM!</v>
      </c>
    </row>
    <row r="524" spans="1:8" x14ac:dyDescent="0.2">
      <c r="A524" s="1">
        <v>40938</v>
      </c>
      <c r="B524">
        <v>287.76688159999998</v>
      </c>
      <c r="C524" s="2">
        <f t="shared" si="41"/>
        <v>-3.9483845367683018E-3</v>
      </c>
      <c r="D524">
        <v>-1.1888112882924378</v>
      </c>
      <c r="E524" s="15">
        <v>0</v>
      </c>
      <c r="F524">
        <f t="shared" si="44"/>
        <v>8.2186714208410342E-3</v>
      </c>
      <c r="G524">
        <f t="shared" si="42"/>
        <v>0</v>
      </c>
      <c r="H524" t="e">
        <f t="shared" si="43"/>
        <v>#NUM!</v>
      </c>
    </row>
    <row r="525" spans="1:8" x14ac:dyDescent="0.2">
      <c r="A525" s="1">
        <v>40939</v>
      </c>
      <c r="B525">
        <v>288.97235819999997</v>
      </c>
      <c r="C525" s="2">
        <f t="shared" si="41"/>
        <v>4.1890734378378768E-3</v>
      </c>
      <c r="D525">
        <v>-2.0609588298272934</v>
      </c>
      <c r="E525" s="15">
        <v>0</v>
      </c>
      <c r="F525">
        <f t="shared" si="44"/>
        <v>3.6730049391358139E-3</v>
      </c>
      <c r="G525">
        <f t="shared" si="42"/>
        <v>0</v>
      </c>
      <c r="H525" t="e">
        <f t="shared" si="43"/>
        <v>#NUM!</v>
      </c>
    </row>
    <row r="526" spans="1:8" x14ac:dyDescent="0.2">
      <c r="A526" s="1">
        <v>40940</v>
      </c>
      <c r="B526">
        <v>289.33100139999999</v>
      </c>
      <c r="C526" s="2">
        <f t="shared" si="41"/>
        <v>1.2410986373713902E-3</v>
      </c>
      <c r="D526">
        <v>-0.7037295583884623</v>
      </c>
      <c r="E526" s="15">
        <v>1</v>
      </c>
      <c r="F526">
        <f t="shared" si="44"/>
        <v>3.2835670357193353E-3</v>
      </c>
      <c r="G526">
        <f t="shared" si="42"/>
        <v>304.54685076375443</v>
      </c>
      <c r="H526">
        <f t="shared" si="43"/>
        <v>-4.9673082259950672</v>
      </c>
    </row>
    <row r="527" spans="1:8" x14ac:dyDescent="0.2">
      <c r="A527" s="1">
        <v>40941</v>
      </c>
      <c r="B527">
        <v>291.46302400000002</v>
      </c>
      <c r="C527" s="2">
        <f t="shared" si="41"/>
        <v>7.3688010952290151E-3</v>
      </c>
      <c r="D527">
        <v>4.9373210745246769</v>
      </c>
      <c r="E527" s="15">
        <v>1</v>
      </c>
      <c r="F527">
        <f t="shared" si="44"/>
        <v>12042.225795641851</v>
      </c>
      <c r="G527">
        <f t="shared" si="42"/>
        <v>8.3041126862270397E-5</v>
      </c>
      <c r="H527">
        <f t="shared" si="43"/>
        <v>-2.102940884393862E+16</v>
      </c>
    </row>
    <row r="528" spans="1:8" x14ac:dyDescent="0.2">
      <c r="A528" s="1">
        <v>40942</v>
      </c>
      <c r="B528">
        <v>297.05208390000001</v>
      </c>
      <c r="C528" s="2">
        <f t="shared" si="41"/>
        <v>1.917587975070208E-2</v>
      </c>
      <c r="D528">
        <v>1.6023066035962954</v>
      </c>
      <c r="E528" s="15">
        <v>1</v>
      </c>
      <c r="F528">
        <f t="shared" si="44"/>
        <v>1031.6886821315327</v>
      </c>
      <c r="G528">
        <f t="shared" si="42"/>
        <v>9.6928464692850767E-4</v>
      </c>
      <c r="H528">
        <f t="shared" si="43"/>
        <v>-1132908055956.2312</v>
      </c>
    </row>
    <row r="529" spans="1:8" x14ac:dyDescent="0.2">
      <c r="A529" s="1">
        <v>40945</v>
      </c>
      <c r="B529">
        <v>303.40826579999998</v>
      </c>
      <c r="C529" s="2">
        <f t="shared" si="41"/>
        <v>2.1397533444470703E-2</v>
      </c>
      <c r="D529">
        <v>0.11585667633774571</v>
      </c>
      <c r="E529" s="15">
        <v>0</v>
      </c>
      <c r="F529">
        <f t="shared" si="44"/>
        <v>88.390156891769479</v>
      </c>
      <c r="G529">
        <f t="shared" si="42"/>
        <v>0</v>
      </c>
      <c r="H529" t="e">
        <f t="shared" si="43"/>
        <v>#NUM!</v>
      </c>
    </row>
    <row r="530" spans="1:8" x14ac:dyDescent="0.2">
      <c r="A530" s="1">
        <v>40946</v>
      </c>
      <c r="B530">
        <v>302.25259360000001</v>
      </c>
      <c r="C530" s="2">
        <f t="shared" si="41"/>
        <v>-3.808967422007425E-3</v>
      </c>
      <c r="D530">
        <v>-1.1780096491912107</v>
      </c>
      <c r="E530" s="15">
        <v>0</v>
      </c>
      <c r="F530">
        <f t="shared" si="44"/>
        <v>7.5755608367770702</v>
      </c>
      <c r="G530">
        <f t="shared" si="42"/>
        <v>0</v>
      </c>
      <c r="H530" t="e">
        <f t="shared" si="43"/>
        <v>#NUM!</v>
      </c>
    </row>
    <row r="531" spans="1:8" x14ac:dyDescent="0.2">
      <c r="A531" s="1">
        <v>40947</v>
      </c>
      <c r="B531">
        <v>303.78686720000002</v>
      </c>
      <c r="C531" s="2">
        <f t="shared" si="41"/>
        <v>5.0761304699686316E-3</v>
      </c>
      <c r="D531">
        <v>-2.3326788884146925</v>
      </c>
      <c r="E531" s="15">
        <v>0</v>
      </c>
      <c r="F531">
        <f t="shared" si="44"/>
        <v>0.65198494757112813</v>
      </c>
      <c r="G531">
        <f t="shared" si="42"/>
        <v>0</v>
      </c>
      <c r="H531" t="e">
        <f t="shared" si="43"/>
        <v>#NUM!</v>
      </c>
    </row>
    <row r="532" spans="1:8" x14ac:dyDescent="0.2">
      <c r="A532" s="1">
        <v>40948</v>
      </c>
      <c r="B532">
        <v>304.58884030000002</v>
      </c>
      <c r="C532" s="2">
        <f t="shared" si="41"/>
        <v>2.6399202420821365E-3</v>
      </c>
      <c r="D532">
        <v>-0.47993451750296517</v>
      </c>
      <c r="E532" s="15">
        <v>0</v>
      </c>
      <c r="F532">
        <f t="shared" si="44"/>
        <v>5.8825970930638481E-2</v>
      </c>
      <c r="G532">
        <f t="shared" si="42"/>
        <v>0</v>
      </c>
      <c r="H532" t="e">
        <f t="shared" si="43"/>
        <v>#NUM!</v>
      </c>
    </row>
    <row r="533" spans="1:8" x14ac:dyDescent="0.2">
      <c r="A533" s="1">
        <v>40949</v>
      </c>
      <c r="B533">
        <v>301.82421770000002</v>
      </c>
      <c r="C533" s="2">
        <f t="shared" si="41"/>
        <v>-9.0765721990241788E-3</v>
      </c>
      <c r="D533">
        <v>-4.4381994025188343</v>
      </c>
      <c r="E533" s="15">
        <v>0</v>
      </c>
      <c r="F533">
        <f t="shared" si="44"/>
        <v>8.0086509215203539E-3</v>
      </c>
      <c r="G533">
        <f t="shared" si="42"/>
        <v>0</v>
      </c>
      <c r="H533" t="e">
        <f t="shared" si="43"/>
        <v>#NUM!</v>
      </c>
    </row>
    <row r="534" spans="1:8" x14ac:dyDescent="0.2">
      <c r="A534" s="1">
        <v>40952</v>
      </c>
      <c r="B534">
        <v>304.95746259999999</v>
      </c>
      <c r="C534" s="2">
        <f t="shared" si="41"/>
        <v>1.0381025498471674E-2</v>
      </c>
      <c r="D534">
        <v>-2.1437165122299953</v>
      </c>
      <c r="E534" s="15">
        <v>0</v>
      </c>
      <c r="F534">
        <f t="shared" si="44"/>
        <v>3.6550119906299996E-3</v>
      </c>
      <c r="G534">
        <f t="shared" si="42"/>
        <v>0</v>
      </c>
      <c r="H534" t="e">
        <f t="shared" si="43"/>
        <v>#NUM!</v>
      </c>
    </row>
    <row r="535" spans="1:8" x14ac:dyDescent="0.2">
      <c r="A535" s="1">
        <v>40953</v>
      </c>
      <c r="B535">
        <v>303.74203679999999</v>
      </c>
      <c r="C535" s="2">
        <f t="shared" si="41"/>
        <v>-3.9855584763774576E-3</v>
      </c>
      <c r="D535">
        <v>-1.3839272408072039</v>
      </c>
      <c r="E535" s="15">
        <v>1</v>
      </c>
      <c r="F535">
        <f t="shared" si="44"/>
        <v>3.2820255376418616E-3</v>
      </c>
      <c r="G535">
        <f t="shared" si="42"/>
        <v>304.68988998741946</v>
      </c>
      <c r="H535">
        <f t="shared" si="43"/>
        <v>-4.9677160881116231</v>
      </c>
    </row>
    <row r="536" spans="1:8" x14ac:dyDescent="0.2">
      <c r="A536" s="1">
        <v>40954</v>
      </c>
      <c r="B536">
        <v>301.64987020000001</v>
      </c>
      <c r="C536" s="2">
        <f t="shared" si="41"/>
        <v>-6.8879718528310884E-3</v>
      </c>
      <c r="D536">
        <v>0.72823254097420342</v>
      </c>
      <c r="E536" s="15">
        <v>0</v>
      </c>
      <c r="F536">
        <f t="shared" si="44"/>
        <v>12053.540407190074</v>
      </c>
      <c r="G536">
        <f t="shared" si="42"/>
        <v>0</v>
      </c>
      <c r="H536" t="e">
        <f t="shared" si="43"/>
        <v>#NUM!</v>
      </c>
    </row>
    <row r="537" spans="1:8" x14ac:dyDescent="0.2">
      <c r="A537" s="1">
        <v>40955</v>
      </c>
      <c r="B537">
        <v>302.12808180000002</v>
      </c>
      <c r="C537" s="2">
        <f t="shared" si="41"/>
        <v>1.5853200920754407E-3</v>
      </c>
      <c r="D537">
        <v>-1.2301577483107518</v>
      </c>
      <c r="E537" s="15">
        <v>0</v>
      </c>
      <c r="F537">
        <f t="shared" si="44"/>
        <v>1032.65803142563</v>
      </c>
      <c r="G537">
        <f t="shared" si="42"/>
        <v>0</v>
      </c>
      <c r="H537" t="e">
        <f t="shared" si="43"/>
        <v>#NUM!</v>
      </c>
    </row>
    <row r="538" spans="1:8" x14ac:dyDescent="0.2">
      <c r="A538" s="1">
        <v>40956</v>
      </c>
      <c r="B538">
        <v>301.19158700000003</v>
      </c>
      <c r="C538" s="2">
        <f t="shared" si="41"/>
        <v>-3.0996615555250622E-3</v>
      </c>
      <c r="D538">
        <v>-2.9552275726645862</v>
      </c>
      <c r="E538" s="15">
        <v>0</v>
      </c>
      <c r="F538">
        <f t="shared" si="44"/>
        <v>88.473203196155097</v>
      </c>
      <c r="G538">
        <f t="shared" si="42"/>
        <v>0</v>
      </c>
      <c r="H538" t="e">
        <f t="shared" si="43"/>
        <v>#NUM!</v>
      </c>
    </row>
    <row r="539" spans="1:8" x14ac:dyDescent="0.2">
      <c r="A539" s="1">
        <v>40960</v>
      </c>
      <c r="B539">
        <v>305.8541012</v>
      </c>
      <c r="C539" s="2">
        <f t="shared" si="41"/>
        <v>1.5480227208338243E-2</v>
      </c>
      <c r="D539">
        <v>-5.9941669214644291</v>
      </c>
      <c r="E539" s="15">
        <v>0</v>
      </c>
      <c r="F539">
        <f t="shared" si="44"/>
        <v>7.5826756083505202</v>
      </c>
      <c r="G539">
        <f t="shared" si="42"/>
        <v>0</v>
      </c>
      <c r="H539" t="e">
        <f t="shared" si="43"/>
        <v>#NUM!</v>
      </c>
    </row>
    <row r="540" spans="1:8" x14ac:dyDescent="0.2">
      <c r="A540" s="1">
        <v>40961</v>
      </c>
      <c r="B540">
        <v>302.835419</v>
      </c>
      <c r="C540" s="2">
        <f t="shared" si="41"/>
        <v>-9.8696803088674772E-3</v>
      </c>
      <c r="D540">
        <v>-1.6375668894285538</v>
      </c>
      <c r="E540" s="15">
        <v>0</v>
      </c>
      <c r="F540">
        <f t="shared" si="44"/>
        <v>0.65259448673023779</v>
      </c>
      <c r="G540">
        <f t="shared" si="42"/>
        <v>0</v>
      </c>
      <c r="H540" t="e">
        <f t="shared" si="43"/>
        <v>#NUM!</v>
      </c>
    </row>
    <row r="541" spans="1:8" x14ac:dyDescent="0.2">
      <c r="A541" s="1">
        <v>40962</v>
      </c>
      <c r="B541">
        <v>301.92382689999999</v>
      </c>
      <c r="C541" s="2">
        <f t="shared" si="41"/>
        <v>-3.0101898351592984E-3</v>
      </c>
      <c r="D541">
        <v>-0.69500634863980604</v>
      </c>
      <c r="E541" s="15">
        <v>0</v>
      </c>
      <c r="F541">
        <f t="shared" si="44"/>
        <v>5.887819157927808E-2</v>
      </c>
      <c r="G541">
        <f t="shared" si="42"/>
        <v>0</v>
      </c>
      <c r="H541" t="e">
        <f t="shared" si="43"/>
        <v>#NUM!</v>
      </c>
    </row>
    <row r="542" spans="1:8" x14ac:dyDescent="0.2">
      <c r="A542" s="1">
        <v>40963</v>
      </c>
      <c r="B542">
        <v>303.8117699</v>
      </c>
      <c r="C542" s="2">
        <f t="shared" si="41"/>
        <v>6.2530440852729104E-3</v>
      </c>
      <c r="D542">
        <v>-3.0772922731439629</v>
      </c>
      <c r="E542" s="15">
        <v>0</v>
      </c>
      <c r="F542">
        <f t="shared" si="44"/>
        <v>8.0131247869046924E-3</v>
      </c>
      <c r="G542">
        <f t="shared" si="42"/>
        <v>0</v>
      </c>
      <c r="H542" t="e">
        <f t="shared" si="43"/>
        <v>#NUM!</v>
      </c>
    </row>
    <row r="543" spans="1:8" x14ac:dyDescent="0.2">
      <c r="A543" s="1">
        <v>40966</v>
      </c>
      <c r="B543">
        <v>303.51785460000002</v>
      </c>
      <c r="C543" s="2">
        <f t="shared" si="41"/>
        <v>-9.6742565337979867E-4</v>
      </c>
      <c r="D543">
        <v>-1.1547127511316075</v>
      </c>
      <c r="E543" s="15">
        <v>0</v>
      </c>
      <c r="F543">
        <f t="shared" si="44"/>
        <v>3.6553952771650891E-3</v>
      </c>
      <c r="G543">
        <f t="shared" si="42"/>
        <v>0</v>
      </c>
      <c r="H543" t="e">
        <f t="shared" si="43"/>
        <v>#NUM!</v>
      </c>
    </row>
    <row r="544" spans="1:8" x14ac:dyDescent="0.2">
      <c r="A544" s="1">
        <v>40967</v>
      </c>
      <c r="B544">
        <v>308.04090309999998</v>
      </c>
      <c r="C544" s="2">
        <f t="shared" si="41"/>
        <v>1.4902083786671436E-2</v>
      </c>
      <c r="D544">
        <v>-16.403854275116139</v>
      </c>
      <c r="E544" s="15">
        <v>0</v>
      </c>
      <c r="F544">
        <f t="shared" si="44"/>
        <v>3.2820583746978214E-3</v>
      </c>
      <c r="G544">
        <f t="shared" si="42"/>
        <v>0</v>
      </c>
      <c r="H544" t="e">
        <f t="shared" si="43"/>
        <v>#NUM!</v>
      </c>
    </row>
    <row r="545" spans="1:8" x14ac:dyDescent="0.2">
      <c r="A545" s="1">
        <v>40968</v>
      </c>
      <c r="B545">
        <v>307.97116990000001</v>
      </c>
      <c r="C545" s="2">
        <f t="shared" si="41"/>
        <v>-2.2637643020198409E-4</v>
      </c>
      <c r="D545">
        <v>-1.0151909245339539</v>
      </c>
      <c r="E545" s="15">
        <v>0</v>
      </c>
      <c r="F545">
        <f t="shared" si="44"/>
        <v>3.2500737270889377E-3</v>
      </c>
      <c r="G545">
        <f t="shared" si="42"/>
        <v>0</v>
      </c>
      <c r="H545" t="e">
        <f t="shared" si="43"/>
        <v>#NUM!</v>
      </c>
    </row>
    <row r="546" spans="1:8" x14ac:dyDescent="0.2">
      <c r="A546" s="1">
        <v>40969</v>
      </c>
      <c r="B546">
        <v>310.03843430000001</v>
      </c>
      <c r="C546" s="2">
        <f t="shared" si="41"/>
        <v>6.7125257233371927E-3</v>
      </c>
      <c r="D546">
        <v>-30.652052191776104</v>
      </c>
      <c r="E546" s="15">
        <v>0</v>
      </c>
      <c r="F546">
        <f t="shared" si="44"/>
        <v>3.2473335273500324E-3</v>
      </c>
      <c r="G546">
        <f t="shared" si="42"/>
        <v>0</v>
      </c>
      <c r="H546" t="e">
        <f t="shared" si="43"/>
        <v>#NUM!</v>
      </c>
    </row>
    <row r="547" spans="1:8" x14ac:dyDescent="0.2">
      <c r="A547" s="1">
        <v>40970</v>
      </c>
      <c r="B547">
        <v>309.46558800000003</v>
      </c>
      <c r="C547" s="2">
        <f t="shared" si="41"/>
        <v>-1.8476622141811035E-3</v>
      </c>
      <c r="D547">
        <v>-1.2752558858370411</v>
      </c>
      <c r="E547" s="15">
        <v>1</v>
      </c>
      <c r="F547">
        <f t="shared" si="44"/>
        <v>3.2470987680148378E-3</v>
      </c>
      <c r="G547">
        <f t="shared" si="42"/>
        <v>307.96722595887184</v>
      </c>
      <c r="H547">
        <f t="shared" si="43"/>
        <v>-4.9770090023162279</v>
      </c>
    </row>
    <row r="548" spans="1:8" x14ac:dyDescent="0.2">
      <c r="A548" s="1">
        <v>40973</v>
      </c>
      <c r="B548">
        <v>305.97864340000001</v>
      </c>
      <c r="C548" s="2">
        <f t="shared" si="41"/>
        <v>-1.1267632768267647E-2</v>
      </c>
      <c r="D548">
        <v>5.0983185572485921</v>
      </c>
      <c r="E548" s="15">
        <v>1</v>
      </c>
      <c r="F548">
        <f t="shared" si="44"/>
        <v>12314.237906281127</v>
      </c>
      <c r="G548">
        <f t="shared" si="42"/>
        <v>8.120681179059645E-5</v>
      </c>
      <c r="H548">
        <f t="shared" si="43"/>
        <v>-2.2994827657051484E+16</v>
      </c>
    </row>
    <row r="549" spans="1:8" x14ac:dyDescent="0.2">
      <c r="A549" s="1">
        <v>40974</v>
      </c>
      <c r="B549">
        <v>301.35098049999999</v>
      </c>
      <c r="C549" s="2">
        <f t="shared" si="41"/>
        <v>-1.5124136928571069E-2</v>
      </c>
      <c r="D549">
        <v>0.3422639199925171</v>
      </c>
      <c r="E549" s="15">
        <v>0</v>
      </c>
      <c r="F549">
        <f t="shared" si="44"/>
        <v>1054.9925972993994</v>
      </c>
      <c r="G549">
        <f t="shared" si="42"/>
        <v>0</v>
      </c>
      <c r="H549" t="e">
        <f t="shared" si="43"/>
        <v>#NUM!</v>
      </c>
    </row>
    <row r="550" spans="1:8" x14ac:dyDescent="0.2">
      <c r="A550" s="1">
        <v>40975</v>
      </c>
      <c r="B550">
        <v>302.26754699999998</v>
      </c>
      <c r="C550" s="2">
        <f t="shared" si="41"/>
        <v>3.0415248640612525E-3</v>
      </c>
      <c r="D550">
        <v>-1.2011040285092562</v>
      </c>
      <c r="E550" s="15">
        <v>0</v>
      </c>
      <c r="F550">
        <f t="shared" si="44"/>
        <v>90.38665781113933</v>
      </c>
      <c r="G550">
        <f t="shared" si="42"/>
        <v>0</v>
      </c>
      <c r="H550" t="e">
        <f t="shared" si="43"/>
        <v>#NUM!</v>
      </c>
    </row>
    <row r="551" spans="1:8" x14ac:dyDescent="0.2">
      <c r="A551" s="1">
        <v>40976</v>
      </c>
      <c r="B551">
        <v>302.43692019999997</v>
      </c>
      <c r="C551" s="2">
        <f t="shared" si="41"/>
        <v>5.6034199397527601E-4</v>
      </c>
      <c r="D551">
        <v>-0.81576938574584956</v>
      </c>
      <c r="E551" s="15">
        <v>0</v>
      </c>
      <c r="F551">
        <f t="shared" si="44"/>
        <v>7.7466057507270252</v>
      </c>
      <c r="G551">
        <f t="shared" si="42"/>
        <v>0</v>
      </c>
      <c r="H551" t="e">
        <f t="shared" si="43"/>
        <v>#NUM!</v>
      </c>
    </row>
    <row r="552" spans="1:8" x14ac:dyDescent="0.2">
      <c r="A552" s="1">
        <v>40977</v>
      </c>
      <c r="B552">
        <v>299.00478520000001</v>
      </c>
      <c r="C552" s="2">
        <f t="shared" si="41"/>
        <v>-1.134826726092273E-2</v>
      </c>
      <c r="D552">
        <v>-21.252394757019495</v>
      </c>
      <c r="E552" s="15">
        <v>0</v>
      </c>
      <c r="F552">
        <f t="shared" si="44"/>
        <v>0.6666387663118587</v>
      </c>
      <c r="G552">
        <f t="shared" si="42"/>
        <v>0</v>
      </c>
      <c r="H552" t="e">
        <f t="shared" si="43"/>
        <v>#NUM!</v>
      </c>
    </row>
    <row r="553" spans="1:8" x14ac:dyDescent="0.2">
      <c r="A553" s="1">
        <v>40980</v>
      </c>
      <c r="B553">
        <v>301.44561579999998</v>
      </c>
      <c r="C553" s="2">
        <f t="shared" si="41"/>
        <v>8.1631823997978265E-3</v>
      </c>
      <c r="D553">
        <v>-1.7193329353378373</v>
      </c>
      <c r="E553" s="15">
        <v>1</v>
      </c>
      <c r="F553">
        <f t="shared" si="44"/>
        <v>6.008139793356599E-2</v>
      </c>
      <c r="G553">
        <f t="shared" si="42"/>
        <v>16.644086762191076</v>
      </c>
      <c r="H553">
        <f t="shared" si="43"/>
        <v>-2.4425329724997806</v>
      </c>
    </row>
    <row r="554" spans="1:8" x14ac:dyDescent="0.2">
      <c r="A554" s="1">
        <v>40981</v>
      </c>
      <c r="B554">
        <v>307.7370694</v>
      </c>
      <c r="C554" s="2">
        <f t="shared" si="41"/>
        <v>2.0870940794090697E-2</v>
      </c>
      <c r="D554">
        <v>1.5567162133492933</v>
      </c>
      <c r="E554" s="15">
        <v>0</v>
      </c>
      <c r="F554">
        <f t="shared" si="44"/>
        <v>35.976288097551624</v>
      </c>
      <c r="G554">
        <f t="shared" si="42"/>
        <v>0</v>
      </c>
      <c r="H554" t="e">
        <f t="shared" si="43"/>
        <v>#NUM!</v>
      </c>
    </row>
    <row r="555" spans="1:8" x14ac:dyDescent="0.2">
      <c r="A555" s="1">
        <v>40982</v>
      </c>
      <c r="B555">
        <v>306.84540509999999</v>
      </c>
      <c r="C555" s="2">
        <f t="shared" si="41"/>
        <v>-2.8974874614179393E-3</v>
      </c>
      <c r="D555">
        <v>-1.1388287902305927</v>
      </c>
      <c r="E555" s="15">
        <v>0</v>
      </c>
      <c r="F555">
        <f t="shared" si="44"/>
        <v>3.0851418288454893</v>
      </c>
      <c r="G555">
        <f t="shared" si="42"/>
        <v>0</v>
      </c>
      <c r="H555" t="e">
        <f t="shared" si="43"/>
        <v>#NUM!</v>
      </c>
    </row>
    <row r="556" spans="1:8" x14ac:dyDescent="0.2">
      <c r="A556" s="1">
        <v>40983</v>
      </c>
      <c r="B556">
        <v>309.40580410000001</v>
      </c>
      <c r="C556" s="2">
        <f t="shared" si="41"/>
        <v>8.3442637805366243E-3</v>
      </c>
      <c r="D556">
        <v>-3.8798273993058814</v>
      </c>
      <c r="E556" s="15">
        <v>0</v>
      </c>
      <c r="F556">
        <f t="shared" si="44"/>
        <v>0.2672802247436909</v>
      </c>
      <c r="G556">
        <f t="shared" si="42"/>
        <v>0</v>
      </c>
      <c r="H556" t="e">
        <f t="shared" si="43"/>
        <v>#NUM!</v>
      </c>
    </row>
    <row r="557" spans="1:8" x14ac:dyDescent="0.2">
      <c r="A557" s="1">
        <v>40984</v>
      </c>
      <c r="B557">
        <v>311.35350010000002</v>
      </c>
      <c r="C557" s="2">
        <f t="shared" si="41"/>
        <v>6.29495624901242E-3</v>
      </c>
      <c r="D557">
        <v>-0.24559476850483891</v>
      </c>
      <c r="E557" s="15">
        <v>1</v>
      </c>
      <c r="F557">
        <f t="shared" si="44"/>
        <v>2.5867415503111148E-2</v>
      </c>
      <c r="G557">
        <f t="shared" si="42"/>
        <v>38.658674651115689</v>
      </c>
      <c r="H557">
        <f t="shared" si="43"/>
        <v>-3.1744943694816472</v>
      </c>
    </row>
    <row r="558" spans="1:8" x14ac:dyDescent="0.2">
      <c r="A558" s="1">
        <v>40987</v>
      </c>
      <c r="B558">
        <v>315.80681600000003</v>
      </c>
      <c r="C558" s="2">
        <f t="shared" si="41"/>
        <v>1.430308603747733E-2</v>
      </c>
      <c r="D558">
        <v>1.2721501900384549</v>
      </c>
      <c r="E558" s="15">
        <v>0</v>
      </c>
      <c r="F558">
        <f t="shared" si="44"/>
        <v>194.04566702317987</v>
      </c>
      <c r="G558">
        <f t="shared" si="42"/>
        <v>0</v>
      </c>
      <c r="H558" t="e">
        <f t="shared" si="43"/>
        <v>#NUM!</v>
      </c>
    </row>
    <row r="559" spans="1:8" x14ac:dyDescent="0.2">
      <c r="A559" s="1">
        <v>40988</v>
      </c>
      <c r="B559">
        <v>315.56273590000001</v>
      </c>
      <c r="C559" s="2">
        <f t="shared" si="41"/>
        <v>-7.7287787227498981E-4</v>
      </c>
      <c r="D559">
        <v>-1.0540357423740496</v>
      </c>
      <c r="E559" s="15">
        <v>0</v>
      </c>
      <c r="F559">
        <f t="shared" si="44"/>
        <v>16.627316066857158</v>
      </c>
      <c r="G559">
        <f t="shared" si="42"/>
        <v>0</v>
      </c>
      <c r="H559" t="e">
        <f t="shared" si="43"/>
        <v>#NUM!</v>
      </c>
    </row>
    <row r="560" spans="1:8" x14ac:dyDescent="0.2">
      <c r="A560" s="1">
        <v>40989</v>
      </c>
      <c r="B560">
        <v>318.79562120000003</v>
      </c>
      <c r="C560" s="2">
        <f t="shared" si="41"/>
        <v>1.0244825932249818E-2</v>
      </c>
      <c r="D560">
        <v>-14.255426633051167</v>
      </c>
      <c r="E560" s="15">
        <v>0</v>
      </c>
      <c r="F560">
        <f t="shared" si="44"/>
        <v>1.4274700372117481</v>
      </c>
      <c r="G560">
        <f t="shared" si="42"/>
        <v>0</v>
      </c>
      <c r="H560" t="e">
        <f t="shared" si="43"/>
        <v>#NUM!</v>
      </c>
    </row>
    <row r="561" spans="1:8" x14ac:dyDescent="0.2">
      <c r="A561" s="1">
        <v>40990</v>
      </c>
      <c r="B561">
        <v>321.81930770000002</v>
      </c>
      <c r="C561" s="2">
        <f t="shared" si="41"/>
        <v>9.4847177907222656E-3</v>
      </c>
      <c r="D561">
        <v>-7.4194344204014079E-2</v>
      </c>
      <c r="E561" s="15">
        <v>0</v>
      </c>
      <c r="F561">
        <f t="shared" si="44"/>
        <v>0.12526359644844642</v>
      </c>
      <c r="G561">
        <f t="shared" si="42"/>
        <v>0</v>
      </c>
      <c r="H561" t="e">
        <f t="shared" si="43"/>
        <v>#NUM!</v>
      </c>
    </row>
    <row r="562" spans="1:8" x14ac:dyDescent="0.2">
      <c r="A562" s="1">
        <v>40991</v>
      </c>
      <c r="B562">
        <v>320.09576349999998</v>
      </c>
      <c r="C562" s="2">
        <f t="shared" si="41"/>
        <v>-5.3556270825327141E-3</v>
      </c>
      <c r="D562">
        <v>-1.5646585592426869</v>
      </c>
      <c r="E562" s="15">
        <v>0</v>
      </c>
      <c r="F562">
        <f t="shared" si="44"/>
        <v>1.3700518042382766E-2</v>
      </c>
      <c r="G562">
        <f t="shared" si="42"/>
        <v>0</v>
      </c>
      <c r="H562" t="e">
        <f t="shared" si="43"/>
        <v>#NUM!</v>
      </c>
    </row>
    <row r="563" spans="1:8" x14ac:dyDescent="0.2">
      <c r="A563" s="1">
        <v>40994</v>
      </c>
      <c r="B563">
        <v>323.45316059999999</v>
      </c>
      <c r="C563" s="2">
        <f t="shared" si="41"/>
        <v>1.0488727071203536E-2</v>
      </c>
      <c r="D563">
        <v>-2.9584498527562419</v>
      </c>
      <c r="E563" s="15">
        <v>0</v>
      </c>
      <c r="F563">
        <f t="shared" si="44"/>
        <v>4.1426475897209207E-3</v>
      </c>
      <c r="G563">
        <f t="shared" si="42"/>
        <v>0</v>
      </c>
      <c r="H563" t="e">
        <f t="shared" si="43"/>
        <v>#NUM!</v>
      </c>
    </row>
    <row r="564" spans="1:8" x14ac:dyDescent="0.2">
      <c r="A564" s="1">
        <v>40995</v>
      </c>
      <c r="B564">
        <v>322.30249359999999</v>
      </c>
      <c r="C564" s="2">
        <f t="shared" si="41"/>
        <v>-3.5574455289462351E-3</v>
      </c>
      <c r="D564">
        <v>-1.3391684715214955</v>
      </c>
      <c r="E564" s="15">
        <v>0</v>
      </c>
      <c r="F564">
        <f t="shared" si="44"/>
        <v>3.3238024225289305E-3</v>
      </c>
      <c r="G564">
        <f t="shared" si="42"/>
        <v>0</v>
      </c>
      <c r="H564" t="e">
        <f t="shared" si="43"/>
        <v>#NUM!</v>
      </c>
    </row>
    <row r="565" spans="1:8" x14ac:dyDescent="0.2">
      <c r="A565" s="1">
        <v>40996</v>
      </c>
      <c r="B565">
        <v>326.65616949999998</v>
      </c>
      <c r="C565" s="2">
        <f t="shared" si="41"/>
        <v>1.3508042867962424E-2</v>
      </c>
      <c r="D565">
        <v>-4.7971186791337024</v>
      </c>
      <c r="E565" s="15">
        <v>0</v>
      </c>
      <c r="F565">
        <f t="shared" si="44"/>
        <v>3.2536500375228185E-3</v>
      </c>
      <c r="G565">
        <f t="shared" si="42"/>
        <v>0</v>
      </c>
      <c r="H565" t="e">
        <f t="shared" si="43"/>
        <v>#NUM!</v>
      </c>
    </row>
    <row r="566" spans="1:8" x14ac:dyDescent="0.2">
      <c r="A566" s="1">
        <v>40997</v>
      </c>
      <c r="B566">
        <v>322.99487740000001</v>
      </c>
      <c r="C566" s="2">
        <f t="shared" si="41"/>
        <v>-1.1208397213510976E-2</v>
      </c>
      <c r="D566">
        <v>-1.8297573025989122</v>
      </c>
      <c r="E566" s="15">
        <v>0</v>
      </c>
      <c r="F566">
        <f t="shared" si="44"/>
        <v>3.2476399182484721E-3</v>
      </c>
      <c r="G566">
        <f t="shared" si="42"/>
        <v>0</v>
      </c>
      <c r="H566" t="e">
        <f t="shared" si="43"/>
        <v>#NUM!</v>
      </c>
    </row>
    <row r="567" spans="1:8" x14ac:dyDescent="0.2">
      <c r="A567" s="1">
        <v>40998</v>
      </c>
      <c r="B567">
        <v>319.42327710000001</v>
      </c>
      <c r="C567" s="2">
        <f t="shared" si="41"/>
        <v>-1.1057761438045642E-2</v>
      </c>
      <c r="D567">
        <v>-1.343954649320891E-2</v>
      </c>
      <c r="E567" s="15">
        <v>0</v>
      </c>
      <c r="F567">
        <f t="shared" si="44"/>
        <v>3.2471250172413473E-3</v>
      </c>
      <c r="G567">
        <f t="shared" si="42"/>
        <v>0</v>
      </c>
      <c r="H567" t="e">
        <f t="shared" si="43"/>
        <v>#NUM!</v>
      </c>
    </row>
    <row r="568" spans="1:8" x14ac:dyDescent="0.2">
      <c r="A568" s="1">
        <v>41001</v>
      </c>
      <c r="B568">
        <v>322.25265839999997</v>
      </c>
      <c r="C568" s="2">
        <f t="shared" si="41"/>
        <v>8.8577805778199056E-3</v>
      </c>
      <c r="D568">
        <v>-1.8010464529776866</v>
      </c>
      <c r="E568" s="15">
        <v>0</v>
      </c>
      <c r="F568">
        <f t="shared" si="44"/>
        <v>3.2470809044650383E-3</v>
      </c>
      <c r="G568">
        <f t="shared" si="42"/>
        <v>0</v>
      </c>
      <c r="H568" t="e">
        <f t="shared" si="43"/>
        <v>#NUM!</v>
      </c>
    </row>
    <row r="569" spans="1:8" x14ac:dyDescent="0.2">
      <c r="A569" s="1">
        <v>41002</v>
      </c>
      <c r="B569">
        <v>320.11068710000001</v>
      </c>
      <c r="C569" s="2">
        <f t="shared" si="41"/>
        <v>-6.6468692939104278E-3</v>
      </c>
      <c r="D569">
        <v>-1.750398955530051</v>
      </c>
      <c r="E569" s="15">
        <v>1</v>
      </c>
      <c r="F569">
        <f t="shared" si="44"/>
        <v>3.2470771252200831E-3</v>
      </c>
      <c r="G569">
        <f t="shared" si="42"/>
        <v>307.96927865771625</v>
      </c>
      <c r="H569">
        <f t="shared" si="43"/>
        <v>-4.9770147917167513</v>
      </c>
    </row>
    <row r="570" spans="1:8" x14ac:dyDescent="0.2">
      <c r="A570" s="1">
        <v>41003</v>
      </c>
      <c r="B570">
        <v>316.38964149999998</v>
      </c>
      <c r="C570" s="2">
        <f t="shared" si="41"/>
        <v>-1.162424670575775E-2</v>
      </c>
      <c r="D570">
        <v>0.7488303427912113</v>
      </c>
      <c r="E570" s="15">
        <v>0</v>
      </c>
      <c r="F570">
        <f t="shared" si="44"/>
        <v>12314.402063354213</v>
      </c>
      <c r="G570">
        <f t="shared" si="42"/>
        <v>0</v>
      </c>
      <c r="H570" t="e">
        <f t="shared" si="43"/>
        <v>#NUM!</v>
      </c>
    </row>
    <row r="571" spans="1:8" x14ac:dyDescent="0.2">
      <c r="A571" s="1">
        <v>41004</v>
      </c>
      <c r="B571">
        <v>314.97991000000002</v>
      </c>
      <c r="C571" s="2">
        <f t="shared" si="41"/>
        <v>-4.4556815871608238E-3</v>
      </c>
      <c r="D571">
        <v>-0.61669072414354176</v>
      </c>
      <c r="E571" s="15">
        <v>0</v>
      </c>
      <c r="F571">
        <f t="shared" si="44"/>
        <v>1055.0066610198107</v>
      </c>
      <c r="G571">
        <f t="shared" si="42"/>
        <v>0</v>
      </c>
      <c r="H571" t="e">
        <f t="shared" si="43"/>
        <v>#NUM!</v>
      </c>
    </row>
    <row r="572" spans="1:8" x14ac:dyDescent="0.2">
      <c r="A572" s="1">
        <v>41008</v>
      </c>
      <c r="B572">
        <v>314.24269570000001</v>
      </c>
      <c r="C572" s="2">
        <f t="shared" si="41"/>
        <v>-2.3405121298053742E-3</v>
      </c>
      <c r="D572">
        <v>-0.47471288420841651</v>
      </c>
      <c r="E572" s="15">
        <v>1</v>
      </c>
      <c r="F572">
        <f t="shared" si="44"/>
        <v>90.387862683035067</v>
      </c>
      <c r="G572">
        <f t="shared" si="42"/>
        <v>1.1063432305139464E-2</v>
      </c>
      <c r="H572">
        <f t="shared" si="43"/>
        <v>-66748335.960408561</v>
      </c>
    </row>
    <row r="573" spans="1:8" x14ac:dyDescent="0.2">
      <c r="A573" s="1">
        <v>41009</v>
      </c>
      <c r="B573">
        <v>312.26011790000001</v>
      </c>
      <c r="C573" s="2">
        <f t="shared" si="41"/>
        <v>-6.3090656588967176E-3</v>
      </c>
      <c r="D573">
        <v>1.6955919512458792</v>
      </c>
      <c r="E573" s="15">
        <v>0</v>
      </c>
      <c r="F573">
        <f t="shared" si="44"/>
        <v>7.7467248669133335</v>
      </c>
      <c r="G573">
        <f t="shared" si="42"/>
        <v>0</v>
      </c>
      <c r="H573" t="e">
        <f t="shared" si="43"/>
        <v>#NUM!</v>
      </c>
    </row>
    <row r="574" spans="1:8" x14ac:dyDescent="0.2">
      <c r="A574" s="1">
        <v>41010</v>
      </c>
      <c r="B574">
        <v>316.79311510000002</v>
      </c>
      <c r="C574" s="2">
        <f t="shared" si="41"/>
        <v>1.4516734415157316E-2</v>
      </c>
      <c r="D574">
        <v>-3.300932531061326</v>
      </c>
      <c r="E574" s="15">
        <v>1</v>
      </c>
      <c r="F574">
        <f t="shared" si="44"/>
        <v>0.6666489712747713</v>
      </c>
      <c r="G574">
        <f t="shared" si="42"/>
        <v>1.5000398156885959</v>
      </c>
      <c r="H574">
        <f t="shared" si="43"/>
        <v>-0.5497154661667103</v>
      </c>
    </row>
    <row r="575" spans="1:8" x14ac:dyDescent="0.2">
      <c r="A575" s="1">
        <v>41011</v>
      </c>
      <c r="B575">
        <v>324.29004579999997</v>
      </c>
      <c r="C575" s="2">
        <f t="shared" si="41"/>
        <v>2.3665068281655814E-2</v>
      </c>
      <c r="D575">
        <v>0.6301922736112382</v>
      </c>
      <c r="E575" s="15">
        <v>0</v>
      </c>
      <c r="F575">
        <f t="shared" si="44"/>
        <v>0.35223099800346136</v>
      </c>
      <c r="G575">
        <f t="shared" si="42"/>
        <v>0</v>
      </c>
      <c r="H575" t="e">
        <f t="shared" si="43"/>
        <v>#NUM!</v>
      </c>
    </row>
    <row r="576" spans="1:8" x14ac:dyDescent="0.2">
      <c r="A576" s="1">
        <v>41012</v>
      </c>
      <c r="B576">
        <v>311.13432269999998</v>
      </c>
      <c r="C576" s="2">
        <f t="shared" si="41"/>
        <v>-4.0567767251522557E-2</v>
      </c>
      <c r="D576">
        <v>-2.714246786389753</v>
      </c>
      <c r="E576" s="15">
        <v>0</v>
      </c>
      <c r="F576">
        <f t="shared" si="44"/>
        <v>3.3145347389456487E-2</v>
      </c>
      <c r="G576">
        <f t="shared" si="42"/>
        <v>0</v>
      </c>
      <c r="H576" t="e">
        <f t="shared" si="43"/>
        <v>#NUM!</v>
      </c>
    </row>
    <row r="577" spans="1:8" x14ac:dyDescent="0.2">
      <c r="A577" s="1">
        <v>41015</v>
      </c>
      <c r="B577">
        <v>301.90389909999999</v>
      </c>
      <c r="C577" s="2">
        <f t="shared" si="41"/>
        <v>-2.9667005298223227E-2</v>
      </c>
      <c r="D577">
        <v>-0.26870500133058745</v>
      </c>
      <c r="E577" s="15">
        <v>0</v>
      </c>
      <c r="F577">
        <f t="shared" si="44"/>
        <v>5.8085317023571182E-3</v>
      </c>
      <c r="G577">
        <f t="shared" si="42"/>
        <v>0</v>
      </c>
      <c r="H577" t="e">
        <f t="shared" si="43"/>
        <v>#NUM!</v>
      </c>
    </row>
    <row r="578" spans="1:8" x14ac:dyDescent="0.2">
      <c r="A578" s="1">
        <v>41016</v>
      </c>
      <c r="B578">
        <v>303.64737109999999</v>
      </c>
      <c r="C578" s="2">
        <f t="shared" si="41"/>
        <v>5.7749237595056853E-3</v>
      </c>
      <c r="D578">
        <v>-1.1946581295096728</v>
      </c>
      <c r="E578" s="15">
        <v>0</v>
      </c>
      <c r="F578">
        <f t="shared" si="44"/>
        <v>3.4665226196157377E-3</v>
      </c>
      <c r="G578">
        <f t="shared" si="42"/>
        <v>0</v>
      </c>
      <c r="H578" t="e">
        <f t="shared" si="43"/>
        <v>#NUM!</v>
      </c>
    </row>
    <row r="579" spans="1:8" x14ac:dyDescent="0.2">
      <c r="A579" s="1">
        <v>41017</v>
      </c>
      <c r="B579">
        <v>302.59133939999998</v>
      </c>
      <c r="C579" s="2">
        <f t="shared" si="41"/>
        <v>-3.4778226341114055E-3</v>
      </c>
      <c r="D579">
        <v>-1.602228320051293</v>
      </c>
      <c r="E579" s="15">
        <v>1</v>
      </c>
      <c r="F579">
        <f t="shared" si="44"/>
        <v>3.2658772113712225E-3</v>
      </c>
      <c r="G579">
        <f t="shared" si="42"/>
        <v>306.19644747150079</v>
      </c>
      <c r="H579">
        <f t="shared" si="43"/>
        <v>-4.9720002954216946</v>
      </c>
    </row>
    <row r="580" spans="1:8" x14ac:dyDescent="0.2">
      <c r="A580" s="1">
        <v>41018</v>
      </c>
      <c r="B580">
        <v>298.53154849999999</v>
      </c>
      <c r="C580" s="2">
        <f t="shared" ref="C580:C643" si="45">(B580-B579)/B579</f>
        <v>-1.3416745198491283E-2</v>
      </c>
      <c r="D580">
        <v>2.8578002992148859</v>
      </c>
      <c r="E580" s="15">
        <v>0</v>
      </c>
      <c r="F580">
        <f t="shared" si="44"/>
        <v>12173.033977484676</v>
      </c>
      <c r="G580">
        <f t="shared" si="42"/>
        <v>0</v>
      </c>
      <c r="H580" t="e">
        <f t="shared" si="43"/>
        <v>#NUM!</v>
      </c>
    </row>
    <row r="581" spans="1:8" x14ac:dyDescent="0.2">
      <c r="A581" s="1">
        <v>41019</v>
      </c>
      <c r="B581">
        <v>296.91759300000001</v>
      </c>
      <c r="C581" s="2">
        <f t="shared" si="45"/>
        <v>-5.406314703117465E-3</v>
      </c>
      <c r="D581">
        <v>-0.59704722545335309</v>
      </c>
      <c r="E581" s="15">
        <v>0</v>
      </c>
      <c r="F581">
        <f t="shared" si="44"/>
        <v>1042.8953257090027</v>
      </c>
      <c r="G581">
        <f t="shared" si="42"/>
        <v>0</v>
      </c>
      <c r="H581" t="e">
        <f t="shared" si="43"/>
        <v>#NUM!</v>
      </c>
    </row>
    <row r="582" spans="1:8" x14ac:dyDescent="0.2">
      <c r="A582" s="1">
        <v>41022</v>
      </c>
      <c r="B582">
        <v>297.68471460000001</v>
      </c>
      <c r="C582" s="2">
        <f t="shared" si="45"/>
        <v>2.5836178727206504E-3</v>
      </c>
      <c r="D582">
        <v>-1.4778889159432114</v>
      </c>
      <c r="E582" s="15">
        <v>1</v>
      </c>
      <c r="F582">
        <f t="shared" si="44"/>
        <v>89.350256195626059</v>
      </c>
      <c r="G582">
        <f t="shared" si="42"/>
        <v>1.1191909711042919E-2</v>
      </c>
      <c r="H582">
        <f t="shared" si="43"/>
        <v>-63735761.911085233</v>
      </c>
    </row>
    <row r="583" spans="1:8" x14ac:dyDescent="0.2">
      <c r="A583" s="1">
        <v>41023</v>
      </c>
      <c r="B583">
        <v>299.5128732</v>
      </c>
      <c r="C583" s="2">
        <f t="shared" si="45"/>
        <v>6.1412578823756463E-3</v>
      </c>
      <c r="D583">
        <v>1.3769993028840066</v>
      </c>
      <c r="E583" s="15">
        <v>1</v>
      </c>
      <c r="F583">
        <f t="shared" si="44"/>
        <v>7.6578310580290392</v>
      </c>
      <c r="G583">
        <f t="shared" si="42"/>
        <v>0.13058527831474234</v>
      </c>
      <c r="H583">
        <f t="shared" si="43"/>
        <v>-3437.160111567297</v>
      </c>
    </row>
    <row r="584" spans="1:8" x14ac:dyDescent="0.2">
      <c r="A584" s="1">
        <v>41024</v>
      </c>
      <c r="B584">
        <v>303.72210899999999</v>
      </c>
      <c r="C584" s="2">
        <f t="shared" si="45"/>
        <v>1.4053605626457553E-2</v>
      </c>
      <c r="D584">
        <v>1.2883920355777574</v>
      </c>
      <c r="E584" s="15">
        <v>0</v>
      </c>
      <c r="F584">
        <f t="shared" si="44"/>
        <v>0.66124727741132439</v>
      </c>
      <c r="G584">
        <f t="shared" ref="G584:G647" si="46">E584/F584</f>
        <v>0</v>
      </c>
      <c r="H584" t="e">
        <f t="shared" ref="H584:H647" si="47">-LOG(G584^2)-(F584^2)/(G584^2)</f>
        <v>#NUM!</v>
      </c>
    </row>
    <row r="585" spans="1:8" x14ac:dyDescent="0.2">
      <c r="A585" s="1">
        <v>41025</v>
      </c>
      <c r="B585">
        <v>306.58637149999998</v>
      </c>
      <c r="C585" s="2">
        <f t="shared" si="45"/>
        <v>9.4305367147308836E-3</v>
      </c>
      <c r="D585">
        <v>-0.32895963033310133</v>
      </c>
      <c r="E585" s="15">
        <v>0</v>
      </c>
      <c r="F585">
        <f t="shared" ref="F585:F648" si="48" xml:space="preserve"> $K$5 + $K$6 * G584 ^ 2 + $K$7 * F584</f>
        <v>5.9619496440755711E-2</v>
      </c>
      <c r="G585">
        <f t="shared" si="46"/>
        <v>0</v>
      </c>
      <c r="H585" t="e">
        <f t="shared" si="47"/>
        <v>#NUM!</v>
      </c>
    </row>
    <row r="586" spans="1:8" x14ac:dyDescent="0.2">
      <c r="A586" s="1">
        <v>41026</v>
      </c>
      <c r="B586">
        <v>306.34229190000002</v>
      </c>
      <c r="C586" s="2">
        <f t="shared" si="45"/>
        <v>-7.9612018892354335E-4</v>
      </c>
      <c r="D586">
        <v>-1.0844193934031316</v>
      </c>
      <c r="E586" s="15">
        <v>1</v>
      </c>
      <c r="F586">
        <f t="shared" si="48"/>
        <v>8.076634112150656E-3</v>
      </c>
      <c r="G586">
        <f t="shared" si="46"/>
        <v>123.81395345068056</v>
      </c>
      <c r="H586">
        <f t="shared" si="47"/>
        <v>-4.1855391864369018</v>
      </c>
    </row>
    <row r="587" spans="1:8" x14ac:dyDescent="0.2">
      <c r="A587" s="1">
        <v>41029</v>
      </c>
      <c r="B587">
        <v>301.29620139999997</v>
      </c>
      <c r="C587" s="2">
        <f t="shared" si="45"/>
        <v>-1.6472066160709061E-2</v>
      </c>
      <c r="D587">
        <v>19.690426382706622</v>
      </c>
      <c r="E587" s="15">
        <v>0</v>
      </c>
      <c r="F587">
        <f t="shared" si="48"/>
        <v>1990.3910216335307</v>
      </c>
      <c r="G587">
        <f t="shared" si="46"/>
        <v>0</v>
      </c>
      <c r="H587" t="e">
        <f t="shared" si="47"/>
        <v>#NUM!</v>
      </c>
    </row>
    <row r="588" spans="1:8" x14ac:dyDescent="0.2">
      <c r="A588" s="1">
        <v>41030</v>
      </c>
      <c r="B588">
        <v>301.08697260000002</v>
      </c>
      <c r="C588" s="2">
        <f t="shared" si="45"/>
        <v>-6.9442893414436687E-4</v>
      </c>
      <c r="D588">
        <v>-0.95784202616907932</v>
      </c>
      <c r="E588" s="15">
        <v>0</v>
      </c>
      <c r="F588">
        <f t="shared" si="48"/>
        <v>170.52443358018544</v>
      </c>
      <c r="G588">
        <f t="shared" si="46"/>
        <v>0</v>
      </c>
      <c r="H588" t="e">
        <f t="shared" si="47"/>
        <v>#NUM!</v>
      </c>
    </row>
    <row r="589" spans="1:8" x14ac:dyDescent="0.2">
      <c r="A589" s="1">
        <v>41031</v>
      </c>
      <c r="B589">
        <v>302.49670409999999</v>
      </c>
      <c r="C589" s="2">
        <f t="shared" si="45"/>
        <v>4.6821404719918584E-3</v>
      </c>
      <c r="D589">
        <v>-7.7424328707744694</v>
      </c>
      <c r="E589" s="15">
        <v>1</v>
      </c>
      <c r="F589">
        <f t="shared" si="48"/>
        <v>14.612196859437196</v>
      </c>
      <c r="G589">
        <f t="shared" si="46"/>
        <v>6.843597917681736E-2</v>
      </c>
      <c r="H589">
        <f t="shared" si="47"/>
        <v>-45586.87967873516</v>
      </c>
    </row>
    <row r="590" spans="1:8" x14ac:dyDescent="0.2">
      <c r="A590" s="1">
        <v>41032</v>
      </c>
      <c r="B590">
        <v>304.36966230000002</v>
      </c>
      <c r="C590" s="2">
        <f t="shared" si="45"/>
        <v>6.1916648168862734E-3</v>
      </c>
      <c r="D590">
        <v>0.32240048198559046</v>
      </c>
      <c r="E590" s="15">
        <v>0</v>
      </c>
      <c r="F590">
        <f t="shared" si="48"/>
        <v>1.2554381402250092</v>
      </c>
      <c r="G590">
        <f t="shared" si="46"/>
        <v>0</v>
      </c>
      <c r="H590" t="e">
        <f t="shared" si="47"/>
        <v>#NUM!</v>
      </c>
    </row>
    <row r="591" spans="1:8" x14ac:dyDescent="0.2">
      <c r="A591" s="1">
        <v>41033</v>
      </c>
      <c r="B591">
        <v>297.37090189999998</v>
      </c>
      <c r="C591" s="2">
        <f t="shared" si="45"/>
        <v>-2.2994277245350931E-2</v>
      </c>
      <c r="D591">
        <v>-4.713747097975908</v>
      </c>
      <c r="E591" s="15">
        <v>0</v>
      </c>
      <c r="F591">
        <f t="shared" si="48"/>
        <v>0.11052522055727391</v>
      </c>
      <c r="G591">
        <f t="shared" si="46"/>
        <v>0</v>
      </c>
      <c r="H591" t="e">
        <f t="shared" si="47"/>
        <v>#NUM!</v>
      </c>
    </row>
    <row r="592" spans="1:8" x14ac:dyDescent="0.2">
      <c r="A592" s="1">
        <v>41036</v>
      </c>
      <c r="B592">
        <v>302.64114369999999</v>
      </c>
      <c r="C592" s="2">
        <f t="shared" si="45"/>
        <v>1.7722789171121682E-2</v>
      </c>
      <c r="D592">
        <v>-1.7707478248617248</v>
      </c>
      <c r="E592" s="15">
        <v>0</v>
      </c>
      <c r="F592">
        <f t="shared" si="48"/>
        <v>1.2437846830158444E-2</v>
      </c>
      <c r="G592">
        <f t="shared" si="46"/>
        <v>0</v>
      </c>
      <c r="H592" t="e">
        <f t="shared" si="47"/>
        <v>#NUM!</v>
      </c>
    </row>
    <row r="593" spans="1:8" x14ac:dyDescent="0.2">
      <c r="A593" s="1">
        <v>41037</v>
      </c>
      <c r="B593">
        <v>305.25137790000002</v>
      </c>
      <c r="C593" s="2">
        <f t="shared" si="45"/>
        <v>8.62484911366675E-3</v>
      </c>
      <c r="D593">
        <v>-0.51334696641765221</v>
      </c>
      <c r="E593" s="15">
        <v>0</v>
      </c>
      <c r="F593">
        <f t="shared" si="48"/>
        <v>4.0344715870220781E-3</v>
      </c>
      <c r="G593">
        <f t="shared" si="46"/>
        <v>0</v>
      </c>
      <c r="H593" t="e">
        <f t="shared" si="47"/>
        <v>#NUM!</v>
      </c>
    </row>
    <row r="594" spans="1:8" x14ac:dyDescent="0.2">
      <c r="A594" s="1">
        <v>41038</v>
      </c>
      <c r="B594">
        <v>303.4381727</v>
      </c>
      <c r="C594" s="2">
        <f t="shared" si="45"/>
        <v>-5.9400393618993944E-3</v>
      </c>
      <c r="D594">
        <v>-1.6887122642513173</v>
      </c>
      <c r="E594" s="15">
        <v>0</v>
      </c>
      <c r="F594">
        <f t="shared" si="48"/>
        <v>3.3145347307920727E-3</v>
      </c>
      <c r="G594">
        <f t="shared" si="46"/>
        <v>0</v>
      </c>
      <c r="H594" t="e">
        <f t="shared" si="47"/>
        <v>#NUM!</v>
      </c>
    </row>
    <row r="595" spans="1:8" x14ac:dyDescent="0.2">
      <c r="A595" s="1">
        <v>41039</v>
      </c>
      <c r="B595">
        <v>305.68475899999999</v>
      </c>
      <c r="C595" s="2">
        <f t="shared" si="45"/>
        <v>7.4037695389799251E-3</v>
      </c>
      <c r="D595">
        <v>-2.2464175888242743</v>
      </c>
      <c r="E595" s="15">
        <v>0</v>
      </c>
      <c r="F595">
        <f t="shared" si="48"/>
        <v>3.2528560526464446E-3</v>
      </c>
      <c r="G595">
        <f t="shared" si="46"/>
        <v>0</v>
      </c>
      <c r="H595" t="e">
        <f t="shared" si="47"/>
        <v>#NUM!</v>
      </c>
    </row>
    <row r="596" spans="1:8" x14ac:dyDescent="0.2">
      <c r="A596" s="1">
        <v>41040</v>
      </c>
      <c r="B596">
        <v>301.48547189999999</v>
      </c>
      <c r="C596" s="2">
        <f t="shared" si="45"/>
        <v>-1.3737312628007052E-2</v>
      </c>
      <c r="D596">
        <v>-2.8554484382154</v>
      </c>
      <c r="E596" s="15">
        <v>0</v>
      </c>
      <c r="F596">
        <f t="shared" si="48"/>
        <v>3.2475718957028577E-3</v>
      </c>
      <c r="G596">
        <f t="shared" si="46"/>
        <v>0</v>
      </c>
      <c r="H596" t="e">
        <f t="shared" si="47"/>
        <v>#NUM!</v>
      </c>
    </row>
    <row r="597" spans="1:8" x14ac:dyDescent="0.2">
      <c r="A597" s="1">
        <v>41043</v>
      </c>
      <c r="B597">
        <v>300.8727695</v>
      </c>
      <c r="C597" s="2">
        <f t="shared" si="45"/>
        <v>-2.0322783586839538E-3</v>
      </c>
      <c r="D597">
        <v>-0.85206143197610351</v>
      </c>
      <c r="E597" s="15">
        <v>0</v>
      </c>
      <c r="F597">
        <f t="shared" si="48"/>
        <v>3.2471191895904064E-3</v>
      </c>
      <c r="G597">
        <f t="shared" si="46"/>
        <v>0</v>
      </c>
      <c r="H597" t="e">
        <f t="shared" si="47"/>
        <v>#NUM!</v>
      </c>
    </row>
    <row r="598" spans="1:8" x14ac:dyDescent="0.2">
      <c r="A598" s="1">
        <v>41044</v>
      </c>
      <c r="B598">
        <v>304.41449269999998</v>
      </c>
      <c r="C598" s="2">
        <f t="shared" si="45"/>
        <v>1.1771497985296999E-2</v>
      </c>
      <c r="D598">
        <v>-6.7922665637791315</v>
      </c>
      <c r="E598" s="15">
        <v>1</v>
      </c>
      <c r="F598">
        <f t="shared" si="48"/>
        <v>3.2470804051965211E-3</v>
      </c>
      <c r="G598">
        <f t="shared" si="46"/>
        <v>307.96896756841397</v>
      </c>
      <c r="H598">
        <f t="shared" si="47"/>
        <v>-4.9770139143277081</v>
      </c>
    </row>
    <row r="599" spans="1:8" x14ac:dyDescent="0.2">
      <c r="A599" s="1">
        <v>41045</v>
      </c>
      <c r="B599">
        <v>313.2912475</v>
      </c>
      <c r="C599" s="2">
        <f t="shared" si="45"/>
        <v>2.9160092613422461E-2</v>
      </c>
      <c r="D599">
        <v>1.477177726220096</v>
      </c>
      <c r="E599" s="15">
        <v>0</v>
      </c>
      <c r="F599">
        <f t="shared" si="48"/>
        <v>12314.37718505613</v>
      </c>
      <c r="G599">
        <f t="shared" si="46"/>
        <v>0</v>
      </c>
      <c r="H599" t="e">
        <f t="shared" si="47"/>
        <v>#NUM!</v>
      </c>
    </row>
    <row r="600" spans="1:8" x14ac:dyDescent="0.2">
      <c r="A600" s="1">
        <v>41046</v>
      </c>
      <c r="B600">
        <v>310.36222670000001</v>
      </c>
      <c r="C600" s="2">
        <f t="shared" si="45"/>
        <v>-9.3491944743843806E-3</v>
      </c>
      <c r="D600">
        <v>-1.3206160761670875</v>
      </c>
      <c r="E600" s="15">
        <v>1</v>
      </c>
      <c r="F600">
        <f t="shared" si="48"/>
        <v>1055.0045296376943</v>
      </c>
      <c r="G600">
        <f t="shared" si="46"/>
        <v>9.4786322893174331E-4</v>
      </c>
      <c r="H600">
        <f t="shared" si="47"/>
        <v>-1238845926307.9514</v>
      </c>
    </row>
    <row r="601" spans="1:8" x14ac:dyDescent="0.2">
      <c r="A601" s="1">
        <v>41047</v>
      </c>
      <c r="B601">
        <v>299.07949209999998</v>
      </c>
      <c r="C601" s="2">
        <f t="shared" si="45"/>
        <v>-3.6353440043159817E-2</v>
      </c>
      <c r="D601">
        <v>2.8884034493841879</v>
      </c>
      <c r="E601" s="15">
        <v>0</v>
      </c>
      <c r="F601">
        <f t="shared" si="48"/>
        <v>90.387680199184132</v>
      </c>
      <c r="G601">
        <f t="shared" si="46"/>
        <v>0</v>
      </c>
      <c r="H601" t="e">
        <f t="shared" si="47"/>
        <v>#NUM!</v>
      </c>
    </row>
    <row r="602" spans="1:8" x14ac:dyDescent="0.2">
      <c r="A602" s="1">
        <v>41050</v>
      </c>
      <c r="B602">
        <v>305.9089108</v>
      </c>
      <c r="C602" s="2">
        <f t="shared" si="45"/>
        <v>2.2834794362017106E-2</v>
      </c>
      <c r="D602">
        <v>-1.6281329726954863</v>
      </c>
      <c r="E602" s="15">
        <v>0</v>
      </c>
      <c r="F602">
        <f t="shared" si="48"/>
        <v>7.7466933411075001</v>
      </c>
      <c r="G602">
        <f t="shared" si="46"/>
        <v>0</v>
      </c>
      <c r="H602" t="e">
        <f t="shared" si="47"/>
        <v>#NUM!</v>
      </c>
    </row>
    <row r="603" spans="1:8" x14ac:dyDescent="0.2">
      <c r="A603" s="1">
        <v>41051</v>
      </c>
      <c r="B603">
        <v>299.27874179999998</v>
      </c>
      <c r="C603" s="2">
        <f t="shared" si="45"/>
        <v>-2.1673670710215951E-2</v>
      </c>
      <c r="D603">
        <v>-1.9491511229138747</v>
      </c>
      <c r="E603" s="15">
        <v>0</v>
      </c>
      <c r="F603">
        <f t="shared" si="48"/>
        <v>0.66664627038508284</v>
      </c>
      <c r="G603">
        <f t="shared" si="46"/>
        <v>0</v>
      </c>
      <c r="H603" t="e">
        <f t="shared" si="47"/>
        <v>#NUM!</v>
      </c>
    </row>
    <row r="604" spans="1:8" x14ac:dyDescent="0.2">
      <c r="A604" s="1">
        <v>41052</v>
      </c>
      <c r="B604">
        <v>303.5925919</v>
      </c>
      <c r="C604" s="2">
        <f t="shared" si="45"/>
        <v>1.4414154757716992E-2</v>
      </c>
      <c r="D604">
        <v>-1.6650536935085405</v>
      </c>
      <c r="E604" s="15">
        <v>0</v>
      </c>
      <c r="F604">
        <f t="shared" si="48"/>
        <v>6.0082040825110115E-2</v>
      </c>
      <c r="G604">
        <f t="shared" si="46"/>
        <v>0</v>
      </c>
      <c r="H604" t="e">
        <f t="shared" si="47"/>
        <v>#NUM!</v>
      </c>
    </row>
    <row r="605" spans="1:8" x14ac:dyDescent="0.2">
      <c r="A605" s="1">
        <v>41053</v>
      </c>
      <c r="B605">
        <v>300.70339630000001</v>
      </c>
      <c r="C605" s="2">
        <f t="shared" si="45"/>
        <v>-9.5166867607614815E-3</v>
      </c>
      <c r="D605">
        <v>-1.6602320372387063</v>
      </c>
      <c r="E605" s="15">
        <v>1</v>
      </c>
      <c r="F605">
        <f t="shared" si="48"/>
        <v>8.1162613738525475E-3</v>
      </c>
      <c r="G605">
        <f t="shared" si="46"/>
        <v>123.20943768785132</v>
      </c>
      <c r="H605">
        <f t="shared" si="47"/>
        <v>-4.1812879553658444</v>
      </c>
    </row>
    <row r="606" spans="1:8" x14ac:dyDescent="0.2">
      <c r="A606" s="1">
        <v>41054</v>
      </c>
      <c r="B606">
        <v>294.66105800000003</v>
      </c>
      <c r="C606" s="2">
        <f t="shared" si="45"/>
        <v>-2.009401414931735E-2</v>
      </c>
      <c r="D606">
        <v>1.1114506187350355</v>
      </c>
      <c r="E606" s="15">
        <v>0</v>
      </c>
      <c r="F606">
        <f t="shared" si="48"/>
        <v>1971.0025285520326</v>
      </c>
      <c r="G606">
        <f t="shared" si="46"/>
        <v>0</v>
      </c>
      <c r="H606" t="e">
        <f t="shared" si="47"/>
        <v>#NUM!</v>
      </c>
    </row>
    <row r="607" spans="1:8" x14ac:dyDescent="0.2">
      <c r="A607" s="1">
        <v>41058</v>
      </c>
      <c r="B607">
        <v>296.06081039999998</v>
      </c>
      <c r="C607" s="2">
        <f t="shared" si="45"/>
        <v>4.7503813686841315E-3</v>
      </c>
      <c r="D607">
        <v>-1.2364077845961661</v>
      </c>
      <c r="E607" s="15">
        <v>0</v>
      </c>
      <c r="F607">
        <f t="shared" si="48"/>
        <v>168.8633759274843</v>
      </c>
      <c r="G607">
        <f t="shared" si="46"/>
        <v>0</v>
      </c>
      <c r="H607" t="e">
        <f t="shared" si="47"/>
        <v>#NUM!</v>
      </c>
    </row>
    <row r="608" spans="1:8" x14ac:dyDescent="0.2">
      <c r="A608" s="1">
        <v>41059</v>
      </c>
      <c r="B608">
        <v>293.01719559999998</v>
      </c>
      <c r="C608" s="2">
        <f t="shared" si="45"/>
        <v>-1.0280370427574835E-2</v>
      </c>
      <c r="D608">
        <v>-3.1641147583109785</v>
      </c>
      <c r="E608" s="15">
        <v>1</v>
      </c>
      <c r="F608">
        <f t="shared" si="48"/>
        <v>14.469890156487189</v>
      </c>
      <c r="G608">
        <f t="shared" si="46"/>
        <v>6.9109024960474677E-2</v>
      </c>
      <c r="H608">
        <f t="shared" si="47"/>
        <v>-43836.709179647994</v>
      </c>
    </row>
    <row r="609" spans="1:8" x14ac:dyDescent="0.2">
      <c r="A609" s="1">
        <v>41060</v>
      </c>
      <c r="B609">
        <v>289.34595530000001</v>
      </c>
      <c r="C609" s="2">
        <f t="shared" si="45"/>
        <v>-1.2529095067211017E-2</v>
      </c>
      <c r="D609">
        <v>0.2187396510153439</v>
      </c>
      <c r="E609" s="15">
        <v>1</v>
      </c>
      <c r="F609">
        <f t="shared" si="48"/>
        <v>1.2432584109287423</v>
      </c>
      <c r="G609">
        <f t="shared" si="46"/>
        <v>0.80433801308689901</v>
      </c>
      <c r="H609">
        <f t="shared" si="47"/>
        <v>-2.2000393280135078</v>
      </c>
    </row>
    <row r="610" spans="1:8" x14ac:dyDescent="0.2">
      <c r="A610" s="1">
        <v>41061</v>
      </c>
      <c r="B610">
        <v>284.42440749999997</v>
      </c>
      <c r="C610" s="2">
        <f t="shared" si="45"/>
        <v>-1.7009215818818951E-2</v>
      </c>
      <c r="D610">
        <v>0.35757736114019378</v>
      </c>
      <c r="E610" s="15">
        <v>0</v>
      </c>
      <c r="F610">
        <f t="shared" si="48"/>
        <v>0.19348104377644623</v>
      </c>
      <c r="G610">
        <f t="shared" si="46"/>
        <v>0</v>
      </c>
      <c r="H610" t="e">
        <f t="shared" si="47"/>
        <v>#NUM!</v>
      </c>
    </row>
    <row r="611" spans="1:8" x14ac:dyDescent="0.2">
      <c r="A611" s="1">
        <v>41064</v>
      </c>
      <c r="B611">
        <v>288.21518520000001</v>
      </c>
      <c r="C611" s="2">
        <f t="shared" si="45"/>
        <v>1.332789170001184E-2</v>
      </c>
      <c r="D611">
        <v>-1.7835688512615553</v>
      </c>
      <c r="E611" s="15">
        <v>0</v>
      </c>
      <c r="F611">
        <f t="shared" si="48"/>
        <v>1.9544866669973765E-2</v>
      </c>
      <c r="G611">
        <f t="shared" si="46"/>
        <v>0</v>
      </c>
      <c r="H611" t="e">
        <f t="shared" si="47"/>
        <v>#NUM!</v>
      </c>
    </row>
    <row r="612" spans="1:8" x14ac:dyDescent="0.2">
      <c r="A612" s="1">
        <v>41065</v>
      </c>
      <c r="B612">
        <v>284.1404713</v>
      </c>
      <c r="C612" s="2">
        <f t="shared" si="45"/>
        <v>-1.4137748839196159E-2</v>
      </c>
      <c r="D612">
        <v>-2.0607640846288988</v>
      </c>
      <c r="E612" s="15">
        <v>0</v>
      </c>
      <c r="F612">
        <f t="shared" si="48"/>
        <v>4.6433466369396716E-3</v>
      </c>
      <c r="G612">
        <f t="shared" si="46"/>
        <v>0</v>
      </c>
      <c r="H612" t="e">
        <f t="shared" si="47"/>
        <v>#NUM!</v>
      </c>
    </row>
    <row r="613" spans="1:8" x14ac:dyDescent="0.2">
      <c r="A613" s="1">
        <v>41066</v>
      </c>
      <c r="B613">
        <v>289.2014848</v>
      </c>
      <c r="C613" s="2">
        <f t="shared" si="45"/>
        <v>1.7811660116015305E-2</v>
      </c>
      <c r="D613">
        <v>-2.2598653660215988</v>
      </c>
      <c r="E613" s="15">
        <v>0</v>
      </c>
      <c r="F613">
        <f t="shared" si="48"/>
        <v>3.3666984836403812E-3</v>
      </c>
      <c r="G613">
        <f t="shared" si="46"/>
        <v>0</v>
      </c>
      <c r="H613" t="e">
        <f t="shared" si="47"/>
        <v>#NUM!</v>
      </c>
    </row>
    <row r="614" spans="1:8" x14ac:dyDescent="0.2">
      <c r="A614" s="1">
        <v>41067</v>
      </c>
      <c r="B614">
        <v>288.03586389999998</v>
      </c>
      <c r="C614" s="2">
        <f t="shared" si="45"/>
        <v>-4.0304803442005764E-3</v>
      </c>
      <c r="D614">
        <v>-1.2262832502949335</v>
      </c>
      <c r="E614" s="15">
        <v>0</v>
      </c>
      <c r="F614">
        <f t="shared" si="48"/>
        <v>3.2573250436349699E-3</v>
      </c>
      <c r="G614">
        <f t="shared" si="46"/>
        <v>0</v>
      </c>
      <c r="H614" t="e">
        <f t="shared" si="47"/>
        <v>#NUM!</v>
      </c>
    </row>
    <row r="615" spans="1:8" x14ac:dyDescent="0.2">
      <c r="A615" s="1">
        <v>41068</v>
      </c>
      <c r="B615">
        <v>289.1417313</v>
      </c>
      <c r="C615" s="2">
        <f t="shared" si="45"/>
        <v>3.8393392580583518E-3</v>
      </c>
      <c r="D615">
        <v>-1.9525761026431363</v>
      </c>
      <c r="E615" s="15">
        <v>0</v>
      </c>
      <c r="F615">
        <f t="shared" si="48"/>
        <v>3.2479547646370312E-3</v>
      </c>
      <c r="G615">
        <f t="shared" si="46"/>
        <v>0</v>
      </c>
      <c r="H615" t="e">
        <f t="shared" si="47"/>
        <v>#NUM!</v>
      </c>
    </row>
    <row r="616" spans="1:8" x14ac:dyDescent="0.2">
      <c r="A616" s="1">
        <v>41071</v>
      </c>
      <c r="B616">
        <v>283.18902300000002</v>
      </c>
      <c r="C616" s="2">
        <f t="shared" si="45"/>
        <v>-2.0587510053412975E-2</v>
      </c>
      <c r="D616">
        <v>-6.3622534164445224</v>
      </c>
      <c r="E616" s="15">
        <v>0</v>
      </c>
      <c r="F616">
        <f t="shared" si="48"/>
        <v>3.2471519908695164E-3</v>
      </c>
      <c r="G616">
        <f t="shared" si="46"/>
        <v>0</v>
      </c>
      <c r="H616" t="e">
        <f t="shared" si="47"/>
        <v>#NUM!</v>
      </c>
    </row>
    <row r="617" spans="1:8" x14ac:dyDescent="0.2">
      <c r="A617" s="1">
        <v>41072</v>
      </c>
      <c r="B617">
        <v>281.49535580000003</v>
      </c>
      <c r="C617" s="2">
        <f t="shared" si="45"/>
        <v>-5.9806950921257743E-3</v>
      </c>
      <c r="D617">
        <v>-0.70949886233890136</v>
      </c>
      <c r="E617" s="15">
        <v>1</v>
      </c>
      <c r="F617">
        <f t="shared" si="48"/>
        <v>3.247083215358995E-3</v>
      </c>
      <c r="G617">
        <f t="shared" si="46"/>
        <v>307.96870103910805</v>
      </c>
      <c r="H617">
        <f t="shared" si="47"/>
        <v>-4.9770131626139369</v>
      </c>
    </row>
    <row r="618" spans="1:8" x14ac:dyDescent="0.2">
      <c r="A618" s="1">
        <v>41073</v>
      </c>
      <c r="B618">
        <v>279.49785489999999</v>
      </c>
      <c r="C618" s="2">
        <f t="shared" si="45"/>
        <v>-7.0960350103226599E-3</v>
      </c>
      <c r="D618">
        <v>0.18649001512639393</v>
      </c>
      <c r="E618" s="15">
        <v>0</v>
      </c>
      <c r="F618">
        <f t="shared" si="48"/>
        <v>12314.355870310641</v>
      </c>
      <c r="G618">
        <f t="shared" si="46"/>
        <v>0</v>
      </c>
      <c r="H618" t="e">
        <f t="shared" si="47"/>
        <v>#NUM!</v>
      </c>
    </row>
    <row r="619" spans="1:8" x14ac:dyDescent="0.2">
      <c r="A619" s="1">
        <v>41074</v>
      </c>
      <c r="B619">
        <v>278.48164789999998</v>
      </c>
      <c r="C619" s="2">
        <f t="shared" si="45"/>
        <v>-3.6358311242266658E-3</v>
      </c>
      <c r="D619">
        <v>-0.48762497381458902</v>
      </c>
      <c r="E619" s="15">
        <v>0</v>
      </c>
      <c r="F619">
        <f t="shared" si="48"/>
        <v>1055.0027035534824</v>
      </c>
      <c r="G619">
        <f t="shared" si="46"/>
        <v>0</v>
      </c>
      <c r="H619" t="e">
        <f t="shared" si="47"/>
        <v>#NUM!</v>
      </c>
    </row>
    <row r="620" spans="1:8" x14ac:dyDescent="0.2">
      <c r="A620" s="1">
        <v>41075</v>
      </c>
      <c r="B620">
        <v>281.2014709</v>
      </c>
      <c r="C620" s="2">
        <f t="shared" si="45"/>
        <v>9.7666148577829487E-3</v>
      </c>
      <c r="D620">
        <v>-3.6862124570926786</v>
      </c>
      <c r="E620" s="15">
        <v>1</v>
      </c>
      <c r="F620">
        <f t="shared" si="48"/>
        <v>90.387523637617647</v>
      </c>
      <c r="G620">
        <f t="shared" si="46"/>
        <v>1.1063473804296351E-2</v>
      </c>
      <c r="H620">
        <f t="shared" si="47"/>
        <v>-66747334.472346894</v>
      </c>
    </row>
    <row r="621" spans="1:8" x14ac:dyDescent="0.2">
      <c r="A621" s="1">
        <v>41078</v>
      </c>
      <c r="B621">
        <v>284.35964869999998</v>
      </c>
      <c r="C621" s="2">
        <f t="shared" si="45"/>
        <v>1.1231014510315549E-2</v>
      </c>
      <c r="D621">
        <v>0.1499393263537602</v>
      </c>
      <c r="E621" s="15">
        <v>1</v>
      </c>
      <c r="F621">
        <f t="shared" si="48"/>
        <v>7.746695820216857</v>
      </c>
      <c r="G621">
        <f t="shared" si="46"/>
        <v>0.1290872938873191</v>
      </c>
      <c r="H621">
        <f t="shared" si="47"/>
        <v>-3599.5774303116036</v>
      </c>
    </row>
    <row r="622" spans="1:8" x14ac:dyDescent="0.2">
      <c r="A622" s="1">
        <v>41079</v>
      </c>
      <c r="B622">
        <v>289.67969590000001</v>
      </c>
      <c r="C622" s="2">
        <f t="shared" si="45"/>
        <v>1.8708868238941644E-2</v>
      </c>
      <c r="D622">
        <v>0.66582174938495342</v>
      </c>
      <c r="E622" s="15">
        <v>0</v>
      </c>
      <c r="F622">
        <f t="shared" si="48"/>
        <v>0.66881002520361654</v>
      </c>
      <c r="G622">
        <f t="shared" si="46"/>
        <v>0</v>
      </c>
      <c r="H622" t="e">
        <f t="shared" si="47"/>
        <v>#NUM!</v>
      </c>
    </row>
    <row r="623" spans="1:8" x14ac:dyDescent="0.2">
      <c r="A623" s="1">
        <v>41080</v>
      </c>
      <c r="B623">
        <v>287.67722070000002</v>
      </c>
      <c r="C623" s="2">
        <f t="shared" si="45"/>
        <v>-6.9127219765214897E-3</v>
      </c>
      <c r="D623">
        <v>-1.369489051300975</v>
      </c>
      <c r="E623" s="15">
        <v>1</v>
      </c>
      <c r="F623">
        <f t="shared" si="48"/>
        <v>6.0267414772677198E-2</v>
      </c>
      <c r="G623">
        <f t="shared" si="46"/>
        <v>16.592714384247312</v>
      </c>
      <c r="H623">
        <f t="shared" si="47"/>
        <v>-2.4398480677995069</v>
      </c>
    </row>
    <row r="624" spans="1:8" x14ac:dyDescent="0.2">
      <c r="A624" s="1">
        <v>41081</v>
      </c>
      <c r="B624">
        <v>281.55016540000003</v>
      </c>
      <c r="C624" s="2">
        <f t="shared" si="45"/>
        <v>-2.12983679593787E-2</v>
      </c>
      <c r="D624">
        <v>2.0810392826034247</v>
      </c>
      <c r="E624" s="15">
        <v>0</v>
      </c>
      <c r="F624">
        <f t="shared" si="48"/>
        <v>35.754613417747386</v>
      </c>
      <c r="G624">
        <f t="shared" si="46"/>
        <v>0</v>
      </c>
      <c r="H624" t="e">
        <f t="shared" si="47"/>
        <v>#NUM!</v>
      </c>
    </row>
    <row r="625" spans="1:8" x14ac:dyDescent="0.2">
      <c r="A625" s="1">
        <v>41082</v>
      </c>
      <c r="B625">
        <v>284.67346199999997</v>
      </c>
      <c r="C625" s="2">
        <f t="shared" si="45"/>
        <v>1.1093215291003862E-2</v>
      </c>
      <c r="D625">
        <v>-1.5208481378555103</v>
      </c>
      <c r="E625" s="15">
        <v>0</v>
      </c>
      <c r="F625">
        <f t="shared" si="48"/>
        <v>3.0661504393779766</v>
      </c>
      <c r="G625">
        <f t="shared" si="46"/>
        <v>0</v>
      </c>
      <c r="H625" t="e">
        <f t="shared" si="47"/>
        <v>#NUM!</v>
      </c>
    </row>
    <row r="626" spans="1:8" x14ac:dyDescent="0.2">
      <c r="A626" s="1">
        <v>41085</v>
      </c>
      <c r="B626">
        <v>279.30357959999998</v>
      </c>
      <c r="C626" s="2">
        <f t="shared" si="45"/>
        <v>-1.8863305213887464E-2</v>
      </c>
      <c r="D626">
        <v>-2.700436232332462</v>
      </c>
      <c r="E626" s="15">
        <v>0</v>
      </c>
      <c r="F626">
        <f t="shared" si="48"/>
        <v>0.26565318788848818</v>
      </c>
      <c r="G626">
        <f t="shared" si="46"/>
        <v>0</v>
      </c>
      <c r="H626" t="e">
        <f t="shared" si="47"/>
        <v>#NUM!</v>
      </c>
    </row>
    <row r="627" spans="1:8" x14ac:dyDescent="0.2">
      <c r="A627" s="1">
        <v>41086</v>
      </c>
      <c r="B627">
        <v>281.28615739999998</v>
      </c>
      <c r="C627" s="2">
        <f t="shared" si="45"/>
        <v>7.0982899783787858E-3</v>
      </c>
      <c r="D627">
        <v>-1.376301496365171</v>
      </c>
      <c r="E627" s="15">
        <v>1</v>
      </c>
      <c r="F627">
        <f t="shared" si="48"/>
        <v>2.5728023441634214E-2</v>
      </c>
      <c r="G627">
        <f t="shared" si="46"/>
        <v>38.868123789943233</v>
      </c>
      <c r="H627">
        <f t="shared" si="47"/>
        <v>-3.17918759261633</v>
      </c>
    </row>
    <row r="628" spans="1:8" x14ac:dyDescent="0.2">
      <c r="A628" s="1">
        <v>41087</v>
      </c>
      <c r="B628">
        <v>283.58752229999999</v>
      </c>
      <c r="C628" s="2">
        <f t="shared" si="45"/>
        <v>8.1815789346767562E-3</v>
      </c>
      <c r="D628">
        <v>0.1526126658107293</v>
      </c>
      <c r="E628" s="15">
        <v>0</v>
      </c>
      <c r="F628">
        <f t="shared" si="48"/>
        <v>196.15393781339213</v>
      </c>
      <c r="G628">
        <f t="shared" si="46"/>
        <v>0</v>
      </c>
      <c r="H628" t="e">
        <f t="shared" si="47"/>
        <v>#NUM!</v>
      </c>
    </row>
    <row r="629" spans="1:8" x14ac:dyDescent="0.2">
      <c r="A629" s="1">
        <v>41088</v>
      </c>
      <c r="B629">
        <v>281.10183080000002</v>
      </c>
      <c r="C629" s="2">
        <f t="shared" si="45"/>
        <v>-8.7651652648187521E-3</v>
      </c>
      <c r="D629">
        <v>-2.071329303891273</v>
      </c>
      <c r="E629" s="15">
        <v>0</v>
      </c>
      <c r="F629">
        <f t="shared" si="48"/>
        <v>16.807936567652558</v>
      </c>
      <c r="G629">
        <f t="shared" si="46"/>
        <v>0</v>
      </c>
      <c r="H629" t="e">
        <f t="shared" si="47"/>
        <v>#NUM!</v>
      </c>
    </row>
    <row r="630" spans="1:8" x14ac:dyDescent="0.2">
      <c r="A630" s="1">
        <v>41089</v>
      </c>
      <c r="B630">
        <v>288.95243040000003</v>
      </c>
      <c r="C630" s="2">
        <f t="shared" si="45"/>
        <v>2.7927956134820055E-2</v>
      </c>
      <c r="D630">
        <v>-4.1862441027685007</v>
      </c>
      <c r="E630" s="15">
        <v>0</v>
      </c>
      <c r="F630">
        <f t="shared" si="48"/>
        <v>1.4429442189245709</v>
      </c>
      <c r="G630">
        <f t="shared" si="46"/>
        <v>0</v>
      </c>
      <c r="H630" t="e">
        <f t="shared" si="47"/>
        <v>#NUM!</v>
      </c>
    </row>
    <row r="631" spans="1:8" x14ac:dyDescent="0.2">
      <c r="A631" s="1">
        <v>41092</v>
      </c>
      <c r="B631">
        <v>289.15168</v>
      </c>
      <c r="C631" s="2">
        <f t="shared" si="45"/>
        <v>6.8955848450262167E-4</v>
      </c>
      <c r="D631">
        <v>-0.97530938242763521</v>
      </c>
      <c r="E631" s="15">
        <v>1</v>
      </c>
      <c r="F631">
        <f t="shared" si="48"/>
        <v>0.12658930587028389</v>
      </c>
      <c r="G631">
        <f t="shared" si="46"/>
        <v>7.8995614449825675</v>
      </c>
      <c r="H631">
        <f t="shared" si="47"/>
        <v>-1.7954627589016949</v>
      </c>
    </row>
    <row r="632" spans="1:8" x14ac:dyDescent="0.2">
      <c r="A632" s="1">
        <v>41093</v>
      </c>
      <c r="B632">
        <v>292.81794600000001</v>
      </c>
      <c r="C632" s="2">
        <f t="shared" si="45"/>
        <v>1.2679386818710538E-2</v>
      </c>
      <c r="D632">
        <v>17.387688794600468</v>
      </c>
      <c r="E632" s="15">
        <v>1</v>
      </c>
      <c r="F632">
        <f t="shared" si="48"/>
        <v>8.1160407100224141</v>
      </c>
      <c r="G632">
        <f t="shared" si="46"/>
        <v>0.12321278758066238</v>
      </c>
      <c r="H632">
        <f t="shared" si="47"/>
        <v>-4337.0535997001489</v>
      </c>
    </row>
    <row r="633" spans="1:8" x14ac:dyDescent="0.2">
      <c r="A633" s="1">
        <v>41095</v>
      </c>
      <c r="B633">
        <v>296.84785979999998</v>
      </c>
      <c r="C633" s="2">
        <f t="shared" si="45"/>
        <v>1.3762523284689574E-2</v>
      </c>
      <c r="D633">
        <v>8.5424987932436081E-2</v>
      </c>
      <c r="E633" s="15">
        <v>0</v>
      </c>
      <c r="F633">
        <f t="shared" si="48"/>
        <v>0.70026023134549098</v>
      </c>
      <c r="G633">
        <f t="shared" si="46"/>
        <v>0</v>
      </c>
      <c r="H633" t="e">
        <f t="shared" si="47"/>
        <v>#NUM!</v>
      </c>
    </row>
    <row r="634" spans="1:8" x14ac:dyDescent="0.2">
      <c r="A634" s="1">
        <v>41096</v>
      </c>
      <c r="B634">
        <v>291.89640509999998</v>
      </c>
      <c r="C634" s="2">
        <f t="shared" si="45"/>
        <v>-1.6680109141888447E-2</v>
      </c>
      <c r="D634">
        <v>-2.2119949806329924</v>
      </c>
      <c r="E634" s="15">
        <v>0</v>
      </c>
      <c r="F634">
        <f t="shared" si="48"/>
        <v>6.2961827658268632E-2</v>
      </c>
      <c r="G634">
        <f t="shared" si="46"/>
        <v>0</v>
      </c>
      <c r="H634" t="e">
        <f t="shared" si="47"/>
        <v>#NUM!</v>
      </c>
    </row>
    <row r="635" spans="1:8" x14ac:dyDescent="0.2">
      <c r="A635" s="1">
        <v>41099</v>
      </c>
      <c r="B635">
        <v>291.91135860000003</v>
      </c>
      <c r="C635" s="2">
        <f t="shared" si="45"/>
        <v>5.1228791238193005E-5</v>
      </c>
      <c r="D635">
        <v>-1.0030712503618782</v>
      </c>
      <c r="E635" s="15">
        <v>0</v>
      </c>
      <c r="F635">
        <f t="shared" si="48"/>
        <v>8.3629794626312298E-3</v>
      </c>
      <c r="G635">
        <f t="shared" si="46"/>
        <v>0</v>
      </c>
      <c r="H635" t="e">
        <f t="shared" si="47"/>
        <v>#NUM!</v>
      </c>
    </row>
    <row r="636" spans="1:8" x14ac:dyDescent="0.2">
      <c r="A636" s="1">
        <v>41100</v>
      </c>
      <c r="B636">
        <v>289.76438250000001</v>
      </c>
      <c r="C636" s="2">
        <f t="shared" si="45"/>
        <v>-7.3548905746486336E-3</v>
      </c>
      <c r="D636">
        <v>-144.56947327629476</v>
      </c>
      <c r="E636" s="15">
        <v>1</v>
      </c>
      <c r="F636">
        <f t="shared" si="48"/>
        <v>3.685368147362175E-3</v>
      </c>
      <c r="G636">
        <f t="shared" si="46"/>
        <v>271.34331225925314</v>
      </c>
      <c r="H636">
        <f t="shared" si="47"/>
        <v>-4.8670382443523295</v>
      </c>
    </row>
    <row r="637" spans="1:8" x14ac:dyDescent="0.2">
      <c r="A637" s="1">
        <v>41101</v>
      </c>
      <c r="B637">
        <v>284.52899150000002</v>
      </c>
      <c r="C637" s="2">
        <f t="shared" si="45"/>
        <v>-1.8067751995019584E-2</v>
      </c>
      <c r="D637">
        <v>1.4565629918814582</v>
      </c>
      <c r="E637" s="15">
        <v>0</v>
      </c>
      <c r="F637">
        <f t="shared" si="48"/>
        <v>9559.5360741428485</v>
      </c>
      <c r="G637">
        <f t="shared" si="46"/>
        <v>0</v>
      </c>
      <c r="H637" t="e">
        <f t="shared" si="47"/>
        <v>#NUM!</v>
      </c>
    </row>
    <row r="638" spans="1:8" x14ac:dyDescent="0.2">
      <c r="A638" s="1">
        <v>41102</v>
      </c>
      <c r="B638">
        <v>284.17532260000002</v>
      </c>
      <c r="C638" s="2">
        <f t="shared" si="45"/>
        <v>-1.2429977631998263E-3</v>
      </c>
      <c r="D638">
        <v>-0.93120351864789486</v>
      </c>
      <c r="E638" s="15">
        <v>0</v>
      </c>
      <c r="F638">
        <f t="shared" si="48"/>
        <v>818.99083378090199</v>
      </c>
      <c r="G638">
        <f t="shared" si="46"/>
        <v>0</v>
      </c>
      <c r="H638" t="e">
        <f t="shared" si="47"/>
        <v>#NUM!</v>
      </c>
    </row>
    <row r="639" spans="1:8" x14ac:dyDescent="0.2">
      <c r="A639" s="1">
        <v>41103</v>
      </c>
      <c r="B639">
        <v>287.18405569999999</v>
      </c>
      <c r="C639" s="2">
        <f t="shared" si="45"/>
        <v>1.0587594561245594E-2</v>
      </c>
      <c r="D639">
        <v>-9.5177905179733742</v>
      </c>
      <c r="E639" s="15">
        <v>0</v>
      </c>
      <c r="F639">
        <f t="shared" si="48"/>
        <v>70.167833496347612</v>
      </c>
      <c r="G639">
        <f t="shared" si="46"/>
        <v>0</v>
      </c>
      <c r="H639" t="e">
        <f t="shared" si="47"/>
        <v>#NUM!</v>
      </c>
    </row>
    <row r="640" spans="1:8" x14ac:dyDescent="0.2">
      <c r="A640" s="1">
        <v>41106</v>
      </c>
      <c r="B640">
        <v>286.38705700000003</v>
      </c>
      <c r="C640" s="2">
        <f t="shared" si="45"/>
        <v>-2.77521918150124E-3</v>
      </c>
      <c r="D640">
        <v>-1.2621198956427309</v>
      </c>
      <c r="E640" s="15">
        <v>0</v>
      </c>
      <c r="F640">
        <f t="shared" si="48"/>
        <v>6.0144116748112681</v>
      </c>
      <c r="G640">
        <f t="shared" si="46"/>
        <v>0</v>
      </c>
      <c r="H640" t="e">
        <f t="shared" si="47"/>
        <v>#NUM!</v>
      </c>
    </row>
    <row r="641" spans="1:8" x14ac:dyDescent="0.2">
      <c r="A641" s="1">
        <v>41107</v>
      </c>
      <c r="B641">
        <v>287.28867000000002</v>
      </c>
      <c r="C641" s="2">
        <f t="shared" si="45"/>
        <v>3.1482323588387499E-3</v>
      </c>
      <c r="D641">
        <v>-2.1344085468361929</v>
      </c>
      <c r="E641" s="15">
        <v>1</v>
      </c>
      <c r="F641">
        <f t="shared" si="48"/>
        <v>0.51823763922740518</v>
      </c>
      <c r="G641">
        <f t="shared" si="46"/>
        <v>1.9296166937832071</v>
      </c>
      <c r="H641">
        <f t="shared" si="47"/>
        <v>-0.64307207498447494</v>
      </c>
    </row>
    <row r="642" spans="1:8" x14ac:dyDescent="0.2">
      <c r="A642" s="1">
        <v>41108</v>
      </c>
      <c r="B642">
        <v>289.29615050000001</v>
      </c>
      <c r="C642" s="2">
        <f t="shared" si="45"/>
        <v>6.9876772376717307E-3</v>
      </c>
      <c r="D642">
        <v>1.2195557510403043</v>
      </c>
      <c r="E642" s="15">
        <v>1</v>
      </c>
      <c r="F642">
        <f t="shared" si="48"/>
        <v>0.53080522926088813</v>
      </c>
      <c r="G642">
        <f t="shared" si="46"/>
        <v>1.8839301967549098</v>
      </c>
      <c r="H642">
        <f t="shared" si="47"/>
        <v>-0.62951503899209538</v>
      </c>
    </row>
    <row r="643" spans="1:8" x14ac:dyDescent="0.2">
      <c r="A643" s="1">
        <v>41109</v>
      </c>
      <c r="B643">
        <v>295.42317489999999</v>
      </c>
      <c r="C643" s="2">
        <f t="shared" si="45"/>
        <v>2.1179073380030965E-2</v>
      </c>
      <c r="D643">
        <v>2.0309175223278855</v>
      </c>
      <c r="E643" s="15">
        <v>1</v>
      </c>
      <c r="F643">
        <f t="shared" si="48"/>
        <v>0.50926073799032967</v>
      </c>
      <c r="G643">
        <f t="shared" si="46"/>
        <v>1.963630661861447</v>
      </c>
      <c r="H643">
        <f t="shared" si="47"/>
        <v>-0.65338021655351253</v>
      </c>
    </row>
    <row r="644" spans="1:8" x14ac:dyDescent="0.2">
      <c r="A644" s="1">
        <v>41110</v>
      </c>
      <c r="B644">
        <v>304.27005309999998</v>
      </c>
      <c r="C644" s="2">
        <f t="shared" ref="C644:C707" si="49">(B644-B643)/B643</f>
        <v>2.9946459694621581E-2</v>
      </c>
      <c r="D644">
        <v>0.41396458462895214</v>
      </c>
      <c r="E644" s="15">
        <v>0</v>
      </c>
      <c r="F644">
        <f t="shared" si="48"/>
        <v>0.54722979276703709</v>
      </c>
      <c r="G644">
        <f t="shared" si="46"/>
        <v>0</v>
      </c>
      <c r="H644" t="e">
        <f t="shared" si="47"/>
        <v>#NUM!</v>
      </c>
    </row>
    <row r="645" spans="1:8" x14ac:dyDescent="0.2">
      <c r="A645" s="1">
        <v>41113</v>
      </c>
      <c r="B645">
        <v>306.60629979999999</v>
      </c>
      <c r="C645" s="2">
        <f t="shared" si="49"/>
        <v>7.6782012432626218E-3</v>
      </c>
      <c r="D645">
        <v>-0.74360237164723564</v>
      </c>
      <c r="E645" s="15">
        <v>0</v>
      </c>
      <c r="F645">
        <f t="shared" si="48"/>
        <v>4.9851351252058335E-2</v>
      </c>
      <c r="G645">
        <f t="shared" si="46"/>
        <v>0</v>
      </c>
      <c r="H645" t="e">
        <f t="shared" si="47"/>
        <v>#NUM!</v>
      </c>
    </row>
    <row r="646" spans="1:8" x14ac:dyDescent="0.2">
      <c r="A646" s="1">
        <v>41114</v>
      </c>
      <c r="B646">
        <v>302.65112329999999</v>
      </c>
      <c r="C646" s="2">
        <f t="shared" si="49"/>
        <v>-1.2899853990540847E-2</v>
      </c>
      <c r="D646">
        <v>-2.680061980904715</v>
      </c>
      <c r="E646" s="15">
        <v>0</v>
      </c>
      <c r="F646">
        <f t="shared" si="48"/>
        <v>7.2397742153975098E-3</v>
      </c>
      <c r="G646">
        <f t="shared" si="46"/>
        <v>0</v>
      </c>
      <c r="H646" t="e">
        <f t="shared" si="47"/>
        <v>#NUM!</v>
      </c>
    </row>
    <row r="647" spans="1:8" x14ac:dyDescent="0.2">
      <c r="A647" s="1">
        <v>41115</v>
      </c>
      <c r="B647">
        <v>302.86032169999999</v>
      </c>
      <c r="C647" s="2">
        <f t="shared" si="49"/>
        <v>6.9121963837096099E-4</v>
      </c>
      <c r="D647">
        <v>-1.0535835241916549</v>
      </c>
      <c r="E647" s="15">
        <v>1</v>
      </c>
      <c r="F647">
        <f t="shared" si="48"/>
        <v>3.5891405208194997E-3</v>
      </c>
      <c r="G647">
        <f t="shared" si="46"/>
        <v>278.61823581420333</v>
      </c>
      <c r="H647">
        <f t="shared" si="47"/>
        <v>-4.8900190761314937</v>
      </c>
    </row>
    <row r="648" spans="1:8" x14ac:dyDescent="0.2">
      <c r="A648" s="1">
        <v>41116</v>
      </c>
      <c r="B648">
        <v>305.53531409999999</v>
      </c>
      <c r="C648" s="2">
        <f t="shared" si="49"/>
        <v>8.8324293687098987E-3</v>
      </c>
      <c r="D648">
        <v>11.778035921441436</v>
      </c>
      <c r="E648" s="15">
        <v>1</v>
      </c>
      <c r="F648">
        <f t="shared" si="48"/>
        <v>10079.004524452856</v>
      </c>
      <c r="G648">
        <f t="shared" ref="G648:G711" si="50">E648/F648</f>
        <v>9.9216147544520079E-5</v>
      </c>
      <c r="H648">
        <f t="shared" ref="H648:H711" si="51">-LOG(G648^2)-(F648^2)/(G648^2)</f>
        <v>-1.031978289064948E+16</v>
      </c>
    </row>
    <row r="649" spans="1:8" x14ac:dyDescent="0.2">
      <c r="A649" s="1">
        <v>41117</v>
      </c>
      <c r="B649">
        <v>316.29500669999999</v>
      </c>
      <c r="C649" s="2">
        <f t="shared" si="49"/>
        <v>3.5215872285317591E-2</v>
      </c>
      <c r="D649">
        <v>2.9871105462869236</v>
      </c>
      <c r="E649" s="15">
        <v>0</v>
      </c>
      <c r="F649">
        <f t="shared" ref="F649:F712" si="52" xml:space="preserve"> $K$5 + $K$6 * G648 ^ 2 + $K$7 * F648</f>
        <v>863.49491365559982</v>
      </c>
      <c r="G649">
        <f t="shared" si="50"/>
        <v>0</v>
      </c>
      <c r="H649" t="e">
        <f t="shared" si="51"/>
        <v>#NUM!</v>
      </c>
    </row>
    <row r="650" spans="1:8" x14ac:dyDescent="0.2">
      <c r="A650" s="1">
        <v>41120</v>
      </c>
      <c r="B650">
        <v>314.96996130000002</v>
      </c>
      <c r="C650" s="2">
        <f t="shared" si="49"/>
        <v>-4.1892706869594886E-3</v>
      </c>
      <c r="D650">
        <v>-1.1189597308003103</v>
      </c>
      <c r="E650" s="15">
        <v>0</v>
      </c>
      <c r="F650">
        <f t="shared" si="52"/>
        <v>73.980602345456006</v>
      </c>
      <c r="G650">
        <f t="shared" si="50"/>
        <v>0</v>
      </c>
      <c r="H650" t="e">
        <f t="shared" si="51"/>
        <v>#NUM!</v>
      </c>
    </row>
    <row r="651" spans="1:8" x14ac:dyDescent="0.2">
      <c r="A651" s="1">
        <v>41121</v>
      </c>
      <c r="B651">
        <v>315.3037023</v>
      </c>
      <c r="C651" s="2">
        <f t="shared" si="49"/>
        <v>1.0595962822057691E-3</v>
      </c>
      <c r="D651">
        <v>-1.252930966123559</v>
      </c>
      <c r="E651" s="15">
        <v>0</v>
      </c>
      <c r="F651">
        <f t="shared" si="52"/>
        <v>6.3410605199881855</v>
      </c>
      <c r="G651">
        <f t="shared" si="50"/>
        <v>0</v>
      </c>
      <c r="H651" t="e">
        <f t="shared" si="51"/>
        <v>#NUM!</v>
      </c>
    </row>
    <row r="652" spans="1:8" x14ac:dyDescent="0.2">
      <c r="A652" s="1">
        <v>41122</v>
      </c>
      <c r="B652">
        <v>315.1592622</v>
      </c>
      <c r="C652" s="2">
        <f t="shared" si="49"/>
        <v>-4.5809833169217778E-4</v>
      </c>
      <c r="D652">
        <v>-1.4323328982794761</v>
      </c>
      <c r="E652" s="15">
        <v>1</v>
      </c>
      <c r="F652">
        <f t="shared" si="52"/>
        <v>0.54622241152231243</v>
      </c>
      <c r="G652">
        <f t="shared" si="50"/>
        <v>1.8307560783033732</v>
      </c>
      <c r="H652">
        <f t="shared" si="51"/>
        <v>-0.61427901627334858</v>
      </c>
    </row>
    <row r="653" spans="1:8" x14ac:dyDescent="0.2">
      <c r="A653" s="1">
        <v>41123</v>
      </c>
      <c r="B653">
        <v>313.20158709999998</v>
      </c>
      <c r="C653" s="2">
        <f t="shared" si="49"/>
        <v>-6.2117009867781615E-3</v>
      </c>
      <c r="D653">
        <v>12.559754657548405</v>
      </c>
      <c r="E653" s="15">
        <v>0</v>
      </c>
      <c r="F653">
        <f t="shared" si="52"/>
        <v>0.48493549180072582</v>
      </c>
      <c r="G653">
        <f t="shared" si="50"/>
        <v>0</v>
      </c>
      <c r="H653" t="e">
        <f t="shared" si="51"/>
        <v>#NUM!</v>
      </c>
    </row>
    <row r="654" spans="1:8" x14ac:dyDescent="0.2">
      <c r="A654" s="1">
        <v>41124</v>
      </c>
      <c r="B654">
        <v>319.4681076</v>
      </c>
      <c r="C654" s="2">
        <f t="shared" si="49"/>
        <v>2.0007946185787426E-2</v>
      </c>
      <c r="D654">
        <v>-4.2210092257137122</v>
      </c>
      <c r="E654" s="15">
        <v>0</v>
      </c>
      <c r="F654">
        <f t="shared" si="52"/>
        <v>4.4514452458283477E-2</v>
      </c>
      <c r="G654">
        <f t="shared" si="50"/>
        <v>0</v>
      </c>
      <c r="H654" t="e">
        <f t="shared" si="51"/>
        <v>#NUM!</v>
      </c>
    </row>
    <row r="655" spans="1:8" x14ac:dyDescent="0.2">
      <c r="A655" s="1">
        <v>41127</v>
      </c>
      <c r="B655">
        <v>320.21032709999997</v>
      </c>
      <c r="C655" s="2">
        <f t="shared" si="49"/>
        <v>2.3232976386152919E-3</v>
      </c>
      <c r="D655">
        <v>-0.8838812531260386</v>
      </c>
      <c r="E655" s="15">
        <v>0</v>
      </c>
      <c r="F655">
        <f t="shared" si="52"/>
        <v>6.7825495850031697E-3</v>
      </c>
      <c r="G655">
        <f t="shared" si="50"/>
        <v>0</v>
      </c>
      <c r="H655" t="e">
        <f t="shared" si="51"/>
        <v>#NUM!</v>
      </c>
    </row>
    <row r="656" spans="1:8" x14ac:dyDescent="0.2">
      <c r="A656" s="1">
        <v>41128</v>
      </c>
      <c r="B656">
        <v>319.07458259999999</v>
      </c>
      <c r="C656" s="2">
        <f t="shared" si="49"/>
        <v>-3.5468703032969333E-3</v>
      </c>
      <c r="D656">
        <v>-2.5266534275870494</v>
      </c>
      <c r="E656" s="15">
        <v>0</v>
      </c>
      <c r="F656">
        <f t="shared" si="52"/>
        <v>3.5499690149099084E-3</v>
      </c>
      <c r="G656">
        <f t="shared" si="50"/>
        <v>0</v>
      </c>
      <c r="H656" t="e">
        <f t="shared" si="51"/>
        <v>#NUM!</v>
      </c>
    </row>
    <row r="657" spans="1:8" x14ac:dyDescent="0.2">
      <c r="A657" s="1">
        <v>41129</v>
      </c>
      <c r="B657">
        <v>319.91641170000003</v>
      </c>
      <c r="C657" s="2">
        <f t="shared" si="49"/>
        <v>2.6383458473575104E-3</v>
      </c>
      <c r="D657">
        <v>-1.7438517965839011</v>
      </c>
      <c r="E657" s="15">
        <v>0</v>
      </c>
      <c r="F657">
        <f t="shared" si="52"/>
        <v>3.2730262596706995E-3</v>
      </c>
      <c r="G657">
        <f t="shared" si="50"/>
        <v>0</v>
      </c>
      <c r="H657" t="e">
        <f t="shared" si="51"/>
        <v>#NUM!</v>
      </c>
    </row>
    <row r="658" spans="1:8" x14ac:dyDescent="0.2">
      <c r="A658" s="1">
        <v>41130</v>
      </c>
      <c r="B658">
        <v>319.97619570000001</v>
      </c>
      <c r="C658" s="2">
        <f t="shared" si="49"/>
        <v>1.8687381395125589E-4</v>
      </c>
      <c r="D658">
        <v>-0.92917008430171377</v>
      </c>
      <c r="E658" s="15">
        <v>0</v>
      </c>
      <c r="F658">
        <f t="shared" si="52"/>
        <v>3.2492999246215249E-3</v>
      </c>
      <c r="G658">
        <f t="shared" si="50"/>
        <v>0</v>
      </c>
      <c r="H658" t="e">
        <f t="shared" si="51"/>
        <v>#NUM!</v>
      </c>
    </row>
    <row r="659" spans="1:8" x14ac:dyDescent="0.2">
      <c r="A659" s="1">
        <v>41131</v>
      </c>
      <c r="B659">
        <v>319.80184819999999</v>
      </c>
      <c r="C659" s="2">
        <f t="shared" si="49"/>
        <v>-5.4487647000926677E-4</v>
      </c>
      <c r="D659">
        <v>-3.9157454353202863</v>
      </c>
      <c r="E659" s="15">
        <v>0</v>
      </c>
      <c r="F659">
        <f t="shared" si="52"/>
        <v>3.2472672338787053E-3</v>
      </c>
      <c r="G659">
        <f t="shared" si="50"/>
        <v>0</v>
      </c>
      <c r="H659" t="e">
        <f t="shared" si="51"/>
        <v>#NUM!</v>
      </c>
    </row>
    <row r="660" spans="1:8" x14ac:dyDescent="0.2">
      <c r="A660" s="1">
        <v>41134</v>
      </c>
      <c r="B660">
        <v>328.77323819999998</v>
      </c>
      <c r="C660" s="2">
        <f t="shared" si="49"/>
        <v>2.8052964829613468E-2</v>
      </c>
      <c r="D660">
        <v>-52.484999580063288</v>
      </c>
      <c r="E660" s="15">
        <v>0</v>
      </c>
      <c r="F660">
        <f t="shared" si="52"/>
        <v>3.2470930884977442E-3</v>
      </c>
      <c r="G660">
        <f t="shared" si="50"/>
        <v>0</v>
      </c>
      <c r="H660" t="e">
        <f t="shared" si="51"/>
        <v>#NUM!</v>
      </c>
    </row>
    <row r="661" spans="1:8" x14ac:dyDescent="0.2">
      <c r="A661" s="1">
        <v>41135</v>
      </c>
      <c r="B661">
        <v>333.08211399999999</v>
      </c>
      <c r="C661" s="2">
        <f t="shared" si="49"/>
        <v>1.3105920127777632E-2</v>
      </c>
      <c r="D661">
        <v>-0.53281515136173174</v>
      </c>
      <c r="E661" s="15">
        <v>0</v>
      </c>
      <c r="F661">
        <f t="shared" si="52"/>
        <v>3.2470781690547268E-3</v>
      </c>
      <c r="G661">
        <f t="shared" si="50"/>
        <v>0</v>
      </c>
      <c r="H661" t="e">
        <f t="shared" si="51"/>
        <v>#NUM!</v>
      </c>
    </row>
    <row r="662" spans="1:8" x14ac:dyDescent="0.2">
      <c r="A662" s="1">
        <v>41136</v>
      </c>
      <c r="B662">
        <v>332.52419070000002</v>
      </c>
      <c r="C662" s="2">
        <f t="shared" si="49"/>
        <v>-1.6750323014941906E-3</v>
      </c>
      <c r="D662">
        <v>-1.1278073027428275</v>
      </c>
      <c r="E662" s="15">
        <v>0</v>
      </c>
      <c r="F662">
        <f t="shared" si="52"/>
        <v>3.2470768908710694E-3</v>
      </c>
      <c r="G662">
        <f t="shared" si="50"/>
        <v>0</v>
      </c>
      <c r="H662" t="e">
        <f t="shared" si="51"/>
        <v>#NUM!</v>
      </c>
    </row>
    <row r="663" spans="1:8" x14ac:dyDescent="0.2">
      <c r="A663" s="1">
        <v>41137</v>
      </c>
      <c r="B663">
        <v>335.17925539999999</v>
      </c>
      <c r="C663" s="2">
        <f t="shared" si="49"/>
        <v>7.9845760827528516E-3</v>
      </c>
      <c r="D663">
        <v>-5.7668191685798034</v>
      </c>
      <c r="E663" s="15">
        <v>0</v>
      </c>
      <c r="F663">
        <f t="shared" si="52"/>
        <v>3.2470767813660793E-3</v>
      </c>
      <c r="G663">
        <f t="shared" si="50"/>
        <v>0</v>
      </c>
      <c r="H663" t="e">
        <f t="shared" si="51"/>
        <v>#NUM!</v>
      </c>
    </row>
    <row r="664" spans="1:8" x14ac:dyDescent="0.2">
      <c r="A664" s="1">
        <v>41138</v>
      </c>
      <c r="B664">
        <v>337.30627279999999</v>
      </c>
      <c r="C664" s="2">
        <f t="shared" si="49"/>
        <v>6.3459100339059941E-3</v>
      </c>
      <c r="D664">
        <v>-0.20522893537034126</v>
      </c>
      <c r="E664" s="15">
        <v>0</v>
      </c>
      <c r="F664">
        <f t="shared" si="52"/>
        <v>3.2470767719845299E-3</v>
      </c>
      <c r="G664">
        <f t="shared" si="50"/>
        <v>0</v>
      </c>
      <c r="H664" t="e">
        <f t="shared" si="51"/>
        <v>#NUM!</v>
      </c>
    </row>
    <row r="665" spans="1:8" x14ac:dyDescent="0.2">
      <c r="A665" s="1">
        <v>41141</v>
      </c>
      <c r="B665">
        <v>336.50927460000003</v>
      </c>
      <c r="C665" s="2">
        <f t="shared" si="49"/>
        <v>-2.3628324293646571E-3</v>
      </c>
      <c r="D665">
        <v>-1.3723394149523267</v>
      </c>
      <c r="E665" s="15">
        <v>1</v>
      </c>
      <c r="F665">
        <f t="shared" si="52"/>
        <v>3.2470767711807904E-3</v>
      </c>
      <c r="G665">
        <f t="shared" si="50"/>
        <v>307.96931223660374</v>
      </c>
      <c r="H665">
        <f t="shared" si="51"/>
        <v>-4.9770148864218129</v>
      </c>
    </row>
    <row r="666" spans="1:8" x14ac:dyDescent="0.2">
      <c r="A666" s="1">
        <v>41142</v>
      </c>
      <c r="B666">
        <v>333.505516</v>
      </c>
      <c r="C666" s="2">
        <f t="shared" si="49"/>
        <v>-8.9262282698464018E-3</v>
      </c>
      <c r="D666">
        <v>2.7777661077076798</v>
      </c>
      <c r="E666" s="15">
        <v>0</v>
      </c>
      <c r="F666">
        <f t="shared" si="52"/>
        <v>12314.40474871187</v>
      </c>
      <c r="G666">
        <f t="shared" si="50"/>
        <v>0</v>
      </c>
      <c r="H666" t="e">
        <f t="shared" si="51"/>
        <v>#NUM!</v>
      </c>
    </row>
    <row r="667" spans="1:8" x14ac:dyDescent="0.2">
      <c r="A667" s="1">
        <v>41143</v>
      </c>
      <c r="B667">
        <v>337.32620109999999</v>
      </c>
      <c r="C667" s="2">
        <f t="shared" si="49"/>
        <v>1.1456137655006556E-2</v>
      </c>
      <c r="D667">
        <v>-2.2834242312294895</v>
      </c>
      <c r="E667" s="15">
        <v>0</v>
      </c>
      <c r="F667">
        <f t="shared" si="52"/>
        <v>1055.0068910806963</v>
      </c>
      <c r="G667">
        <f t="shared" si="50"/>
        <v>0</v>
      </c>
      <c r="H667" t="e">
        <f t="shared" si="51"/>
        <v>#NUM!</v>
      </c>
    </row>
    <row r="668" spans="1:8" x14ac:dyDescent="0.2">
      <c r="A668" s="1">
        <v>41144</v>
      </c>
      <c r="B668">
        <v>337.13690009999999</v>
      </c>
      <c r="C668" s="2">
        <f t="shared" si="49"/>
        <v>-5.6118083736958902E-4</v>
      </c>
      <c r="D668">
        <v>-1.0489851688474032</v>
      </c>
      <c r="E668" s="15">
        <v>0</v>
      </c>
      <c r="F668">
        <f t="shared" si="52"/>
        <v>90.387882392890432</v>
      </c>
      <c r="G668">
        <f t="shared" si="50"/>
        <v>0</v>
      </c>
      <c r="H668" t="e">
        <f t="shared" si="51"/>
        <v>#NUM!</v>
      </c>
    </row>
    <row r="669" spans="1:8" x14ac:dyDescent="0.2">
      <c r="A669" s="1">
        <v>41145</v>
      </c>
      <c r="B669">
        <v>338.04849230000002</v>
      </c>
      <c r="C669" s="2">
        <f t="shared" si="49"/>
        <v>2.7039229456331756E-3</v>
      </c>
      <c r="D669">
        <v>-5.8182738354132262</v>
      </c>
      <c r="E669" s="15">
        <v>0</v>
      </c>
      <c r="F669">
        <f t="shared" si="52"/>
        <v>7.7467106635163008</v>
      </c>
      <c r="G669">
        <f t="shared" si="50"/>
        <v>0</v>
      </c>
      <c r="H669" t="e">
        <f t="shared" si="51"/>
        <v>#NUM!</v>
      </c>
    </row>
    <row r="670" spans="1:8" x14ac:dyDescent="0.2">
      <c r="A670" s="1">
        <v>41148</v>
      </c>
      <c r="B670">
        <v>333.36104549999999</v>
      </c>
      <c r="C670" s="2">
        <f t="shared" si="49"/>
        <v>-1.3866196438587197E-2</v>
      </c>
      <c r="D670">
        <v>-6.1281773620735187</v>
      </c>
      <c r="E670" s="15">
        <v>0</v>
      </c>
      <c r="F670">
        <f t="shared" si="52"/>
        <v>0.66664775443645197</v>
      </c>
      <c r="G670">
        <f t="shared" si="50"/>
        <v>0</v>
      </c>
      <c r="H670" t="e">
        <f t="shared" si="51"/>
        <v>#NUM!</v>
      </c>
    </row>
    <row r="671" spans="1:8" x14ac:dyDescent="0.2">
      <c r="A671" s="1">
        <v>41149</v>
      </c>
      <c r="B671">
        <v>337.36108280000002</v>
      </c>
      <c r="C671" s="2">
        <f t="shared" si="49"/>
        <v>1.1999114335631129E-2</v>
      </c>
      <c r="D671">
        <v>-1.8653500899669713</v>
      </c>
      <c r="E671" s="15">
        <v>1</v>
      </c>
      <c r="F671">
        <f t="shared" si="52"/>
        <v>6.0082167967269812E-2</v>
      </c>
      <c r="G671">
        <f t="shared" si="50"/>
        <v>16.643873445857633</v>
      </c>
      <c r="H671">
        <f t="shared" si="51"/>
        <v>-2.4425218409619429</v>
      </c>
    </row>
    <row r="672" spans="1:8" x14ac:dyDescent="0.2">
      <c r="A672" s="1">
        <v>41150</v>
      </c>
      <c r="B672">
        <v>342.72098560000001</v>
      </c>
      <c r="C672" s="2">
        <f t="shared" si="49"/>
        <v>1.5887732975938818E-2</v>
      </c>
      <c r="D672">
        <v>0.32407547186716223</v>
      </c>
      <c r="E672" s="15">
        <v>0</v>
      </c>
      <c r="F672">
        <f t="shared" si="52"/>
        <v>35.975366208537139</v>
      </c>
      <c r="G672">
        <f t="shared" si="50"/>
        <v>0</v>
      </c>
      <c r="H672" t="e">
        <f t="shared" si="51"/>
        <v>#NUM!</v>
      </c>
    </row>
    <row r="673" spans="1:8" x14ac:dyDescent="0.2">
      <c r="A673" s="1">
        <v>41151</v>
      </c>
      <c r="B673">
        <v>339.5678125</v>
      </c>
      <c r="C673" s="2">
        <f t="shared" si="49"/>
        <v>-9.2004085903282466E-3</v>
      </c>
      <c r="D673">
        <v>-1.5790888230726063</v>
      </c>
      <c r="E673" s="15">
        <v>0</v>
      </c>
      <c r="F673">
        <f t="shared" si="52"/>
        <v>3.0850628484525306</v>
      </c>
      <c r="G673">
        <f t="shared" si="50"/>
        <v>0</v>
      </c>
      <c r="H673" t="e">
        <f t="shared" si="51"/>
        <v>#NUM!</v>
      </c>
    </row>
    <row r="674" spans="1:8" x14ac:dyDescent="0.2">
      <c r="A674" s="1">
        <v>41152</v>
      </c>
      <c r="B674">
        <v>341.26642370000002</v>
      </c>
      <c r="C674" s="2">
        <f t="shared" si="49"/>
        <v>5.0022738830701637E-3</v>
      </c>
      <c r="D674">
        <v>-1.5437012752160495</v>
      </c>
      <c r="E674" s="15">
        <v>0</v>
      </c>
      <c r="F674">
        <f t="shared" si="52"/>
        <v>0.2672734583082807</v>
      </c>
      <c r="G674">
        <f t="shared" si="50"/>
        <v>0</v>
      </c>
      <c r="H674" t="e">
        <f t="shared" si="51"/>
        <v>#NUM!</v>
      </c>
    </row>
    <row r="675" spans="1:8" x14ac:dyDescent="0.2">
      <c r="A675" s="1">
        <v>41156</v>
      </c>
      <c r="B675">
        <v>339.24899499999998</v>
      </c>
      <c r="C675" s="2">
        <f t="shared" si="49"/>
        <v>-5.9115944607944122E-3</v>
      </c>
      <c r="D675">
        <v>-2.1817814455945284</v>
      </c>
      <c r="E675" s="15">
        <v>0</v>
      </c>
      <c r="F675">
        <f t="shared" si="52"/>
        <v>2.5866835806727714E-2</v>
      </c>
      <c r="G675">
        <f t="shared" si="50"/>
        <v>0</v>
      </c>
      <c r="H675" t="e">
        <f t="shared" si="51"/>
        <v>#NUM!</v>
      </c>
    </row>
    <row r="676" spans="1:8" x14ac:dyDescent="0.2">
      <c r="A676" s="1">
        <v>41157</v>
      </c>
      <c r="B676">
        <v>339.08960139999999</v>
      </c>
      <c r="C676" s="2">
        <f t="shared" si="49"/>
        <v>-4.6984251198735946E-4</v>
      </c>
      <c r="D676">
        <v>-0.92052186341547171</v>
      </c>
      <c r="E676" s="15">
        <v>0</v>
      </c>
      <c r="F676">
        <f t="shared" si="52"/>
        <v>5.1849645528140378E-3</v>
      </c>
      <c r="G676">
        <f t="shared" si="50"/>
        <v>0</v>
      </c>
      <c r="H676" t="e">
        <f t="shared" si="51"/>
        <v>#NUM!</v>
      </c>
    </row>
    <row r="677" spans="1:8" x14ac:dyDescent="0.2">
      <c r="A677" s="1">
        <v>41158</v>
      </c>
      <c r="B677">
        <v>348.39473199999998</v>
      </c>
      <c r="C677" s="2">
        <f t="shared" si="49"/>
        <v>2.7441509741324626E-2</v>
      </c>
      <c r="D677">
        <v>-59.405761592860941</v>
      </c>
      <c r="E677" s="15">
        <v>0</v>
      </c>
      <c r="F677">
        <f t="shared" si="52"/>
        <v>3.4131001601513666E-3</v>
      </c>
      <c r="G677">
        <f t="shared" si="50"/>
        <v>0</v>
      </c>
      <c r="H677" t="e">
        <f t="shared" si="51"/>
        <v>#NUM!</v>
      </c>
    </row>
    <row r="678" spans="1:8" x14ac:dyDescent="0.2">
      <c r="A678" s="1">
        <v>41159</v>
      </c>
      <c r="B678">
        <v>351.75713389999999</v>
      </c>
      <c r="C678" s="2">
        <f t="shared" si="49"/>
        <v>9.6511272736466321E-3</v>
      </c>
      <c r="D678">
        <v>-0.64830188409375888</v>
      </c>
      <c r="E678" s="15">
        <v>0</v>
      </c>
      <c r="F678">
        <f t="shared" si="52"/>
        <v>3.2613003840362455E-3</v>
      </c>
      <c r="G678">
        <f t="shared" si="50"/>
        <v>0</v>
      </c>
      <c r="H678" t="e">
        <f t="shared" si="51"/>
        <v>#NUM!</v>
      </c>
    </row>
    <row r="679" spans="1:8" x14ac:dyDescent="0.2">
      <c r="A679" s="1">
        <v>41162</v>
      </c>
      <c r="B679">
        <v>349.0771671</v>
      </c>
      <c r="C679" s="2">
        <f t="shared" si="49"/>
        <v>-7.6187987157123821E-3</v>
      </c>
      <c r="D679">
        <v>-1.7894206033855002</v>
      </c>
      <c r="E679" s="15">
        <v>1</v>
      </c>
      <c r="F679">
        <f t="shared" si="52"/>
        <v>3.248295341368182E-3</v>
      </c>
      <c r="G679">
        <f t="shared" si="50"/>
        <v>307.85378018576353</v>
      </c>
      <c r="H679">
        <f t="shared" si="51"/>
        <v>-4.9766889815745072</v>
      </c>
    </row>
    <row r="680" spans="1:8" x14ac:dyDescent="0.2">
      <c r="A680" s="1">
        <v>41163</v>
      </c>
      <c r="B680">
        <v>344.80317309999998</v>
      </c>
      <c r="C680" s="2">
        <f t="shared" si="49"/>
        <v>-1.2243693953135716E-2</v>
      </c>
      <c r="D680">
        <v>0.60703733094895018</v>
      </c>
      <c r="E680" s="15">
        <v>0</v>
      </c>
      <c r="F680">
        <f t="shared" si="52"/>
        <v>12305.167197245633</v>
      </c>
      <c r="G680">
        <f t="shared" si="50"/>
        <v>0</v>
      </c>
      <c r="H680" t="e">
        <f t="shared" si="51"/>
        <v>#NUM!</v>
      </c>
    </row>
    <row r="681" spans="1:8" x14ac:dyDescent="0.2">
      <c r="A681" s="1">
        <v>41164</v>
      </c>
      <c r="B681">
        <v>344.15064489999997</v>
      </c>
      <c r="C681" s="2">
        <f t="shared" si="49"/>
        <v>-1.8924657628100179E-3</v>
      </c>
      <c r="D681">
        <v>-0.84543343127869175</v>
      </c>
      <c r="E681" s="15">
        <v>0</v>
      </c>
      <c r="F681">
        <f t="shared" si="52"/>
        <v>1054.2154883919616</v>
      </c>
      <c r="G681">
        <f t="shared" si="50"/>
        <v>0</v>
      </c>
      <c r="H681" t="e">
        <f t="shared" si="51"/>
        <v>#NUM!</v>
      </c>
    </row>
    <row r="682" spans="1:8" x14ac:dyDescent="0.2">
      <c r="A682" s="1">
        <v>41165</v>
      </c>
      <c r="B682">
        <v>351.70232429999999</v>
      </c>
      <c r="C682" s="2">
        <f t="shared" si="49"/>
        <v>2.1942947113158272E-2</v>
      </c>
      <c r="D682">
        <v>-12.594897801784484</v>
      </c>
      <c r="E682" s="15">
        <v>0</v>
      </c>
      <c r="F682">
        <f t="shared" si="52"/>
        <v>90.320081069344283</v>
      </c>
      <c r="G682">
        <f t="shared" si="50"/>
        <v>0</v>
      </c>
      <c r="H682" t="e">
        <f t="shared" si="51"/>
        <v>#NUM!</v>
      </c>
    </row>
    <row r="683" spans="1:8" x14ac:dyDescent="0.2">
      <c r="A683" s="1">
        <v>41166</v>
      </c>
      <c r="B683">
        <v>353.51555990000003</v>
      </c>
      <c r="C683" s="2">
        <f t="shared" si="49"/>
        <v>5.1555974320299409E-3</v>
      </c>
      <c r="D683">
        <v>-0.76504535122639272</v>
      </c>
      <c r="E683" s="15">
        <v>0</v>
      </c>
      <c r="F683">
        <f t="shared" si="52"/>
        <v>7.7409019651885762</v>
      </c>
      <c r="G683">
        <f t="shared" si="50"/>
        <v>0</v>
      </c>
      <c r="H683" t="e">
        <f t="shared" si="51"/>
        <v>#NUM!</v>
      </c>
    </row>
    <row r="684" spans="1:8" x14ac:dyDescent="0.2">
      <c r="A684" s="1">
        <v>41169</v>
      </c>
      <c r="B684">
        <v>353.66497390000001</v>
      </c>
      <c r="C684" s="2">
        <f t="shared" si="49"/>
        <v>4.2265183473746959E-4</v>
      </c>
      <c r="D684">
        <v>-0.91802078414585275</v>
      </c>
      <c r="E684" s="15">
        <v>1</v>
      </c>
      <c r="F684">
        <f t="shared" si="52"/>
        <v>0.66615010963399401</v>
      </c>
      <c r="G684">
        <f t="shared" si="50"/>
        <v>1.5011631545770288</v>
      </c>
      <c r="H684">
        <f t="shared" si="51"/>
        <v>-0.54977515222759488</v>
      </c>
    </row>
    <row r="685" spans="1:8" x14ac:dyDescent="0.2">
      <c r="A685" s="1">
        <v>41170</v>
      </c>
      <c r="B685">
        <v>357.79950259999998</v>
      </c>
      <c r="C685" s="2">
        <f t="shared" si="49"/>
        <v>1.1690523532502904E-2</v>
      </c>
      <c r="D685">
        <v>26.659937971792974</v>
      </c>
      <c r="E685" s="15">
        <v>1</v>
      </c>
      <c r="F685">
        <f t="shared" si="52"/>
        <v>0.35262598761585134</v>
      </c>
      <c r="G685">
        <f t="shared" si="50"/>
        <v>2.8358658610533096</v>
      </c>
      <c r="H685">
        <f t="shared" si="51"/>
        <v>-0.92083306966898038</v>
      </c>
    </row>
    <row r="686" spans="1:8" x14ac:dyDescent="0.2">
      <c r="A686" s="1">
        <v>41171</v>
      </c>
      <c r="B686">
        <v>362.39228379999997</v>
      </c>
      <c r="C686" s="2">
        <f t="shared" si="49"/>
        <v>1.2836186653770912E-2</v>
      </c>
      <c r="D686">
        <v>9.7999299867345194E-2</v>
      </c>
      <c r="E686" s="15">
        <v>0</v>
      </c>
      <c r="F686">
        <f t="shared" si="52"/>
        <v>1.0773457744991719</v>
      </c>
      <c r="G686">
        <f t="shared" si="50"/>
        <v>0</v>
      </c>
      <c r="H686" t="e">
        <f t="shared" si="51"/>
        <v>#NUM!</v>
      </c>
    </row>
    <row r="687" spans="1:8" x14ac:dyDescent="0.2">
      <c r="A687" s="1">
        <v>41172</v>
      </c>
      <c r="B687">
        <v>362.70112260000002</v>
      </c>
      <c r="C687" s="2">
        <f t="shared" si="49"/>
        <v>8.5222233972975781E-4</v>
      </c>
      <c r="D687">
        <v>-0.93360782585072499</v>
      </c>
      <c r="E687" s="15">
        <v>1</v>
      </c>
      <c r="F687">
        <f t="shared" si="52"/>
        <v>9.5267630102302117E-2</v>
      </c>
      <c r="G687">
        <f t="shared" si="50"/>
        <v>10.496744790713915</v>
      </c>
      <c r="H687">
        <f t="shared" si="51"/>
        <v>-2.0421916488469445</v>
      </c>
    </row>
    <row r="688" spans="1:8" x14ac:dyDescent="0.2">
      <c r="A688" s="1">
        <v>41173</v>
      </c>
      <c r="B688">
        <v>365.62516909999999</v>
      </c>
      <c r="C688" s="2">
        <f t="shared" si="49"/>
        <v>8.0618622821984464E-3</v>
      </c>
      <c r="D688">
        <v>8.4598110215637927</v>
      </c>
      <c r="E688" s="15">
        <v>1</v>
      </c>
      <c r="F688">
        <f t="shared" si="52"/>
        <v>14.316784121095349</v>
      </c>
      <c r="G688">
        <f t="shared" si="50"/>
        <v>6.984808819786073E-2</v>
      </c>
      <c r="H688">
        <f t="shared" si="51"/>
        <v>-42010.515294407247</v>
      </c>
    </row>
    <row r="689" spans="1:8" x14ac:dyDescent="0.2">
      <c r="A689" s="1">
        <v>41176</v>
      </c>
      <c r="B689">
        <v>373.29144200000002</v>
      </c>
      <c r="C689" s="2">
        <f t="shared" si="49"/>
        <v>2.0967574302586556E-2</v>
      </c>
      <c r="D689">
        <v>1.6008350885483942</v>
      </c>
      <c r="E689" s="15">
        <v>0</v>
      </c>
      <c r="F689">
        <f t="shared" si="52"/>
        <v>1.2301547919772251</v>
      </c>
      <c r="G689">
        <f t="shared" si="50"/>
        <v>0</v>
      </c>
      <c r="H689" t="e">
        <f t="shared" si="51"/>
        <v>#NUM!</v>
      </c>
    </row>
    <row r="690" spans="1:8" x14ac:dyDescent="0.2">
      <c r="A690" s="1">
        <v>41177</v>
      </c>
      <c r="B690">
        <v>373.1818533</v>
      </c>
      <c r="C690" s="2">
        <f t="shared" si="49"/>
        <v>-2.9357410234981363E-4</v>
      </c>
      <c r="D690">
        <v>-1.0140013383576563</v>
      </c>
      <c r="E690" s="15">
        <v>0</v>
      </c>
      <c r="F690">
        <f t="shared" si="52"/>
        <v>0.10835913684378684</v>
      </c>
      <c r="G690">
        <f t="shared" si="50"/>
        <v>0</v>
      </c>
      <c r="H690" t="e">
        <f t="shared" si="51"/>
        <v>#NUM!</v>
      </c>
    </row>
    <row r="691" spans="1:8" x14ac:dyDescent="0.2">
      <c r="A691" s="1">
        <v>41178</v>
      </c>
      <c r="B691">
        <v>375.32385499999998</v>
      </c>
      <c r="C691" s="2">
        <f t="shared" si="49"/>
        <v>5.739833491523046E-3</v>
      </c>
      <c r="D691">
        <v>-20.551566182372728</v>
      </c>
      <c r="E691" s="15">
        <v>0</v>
      </c>
      <c r="F691">
        <f t="shared" si="52"/>
        <v>1.2252273360701322E-2</v>
      </c>
      <c r="G691">
        <f t="shared" si="50"/>
        <v>0</v>
      </c>
      <c r="H691" t="e">
        <f t="shared" si="51"/>
        <v>#NUM!</v>
      </c>
    </row>
    <row r="692" spans="1:8" x14ac:dyDescent="0.2">
      <c r="A692" s="1">
        <v>41179</v>
      </c>
      <c r="B692">
        <v>376.83817049999999</v>
      </c>
      <c r="C692" s="2">
        <f t="shared" si="49"/>
        <v>4.0346902543671502E-3</v>
      </c>
      <c r="D692">
        <v>-0.29707189932846667</v>
      </c>
      <c r="E692" s="15">
        <v>0</v>
      </c>
      <c r="F692">
        <f t="shared" si="52"/>
        <v>4.0185730728732813E-3</v>
      </c>
      <c r="G692">
        <f t="shared" si="50"/>
        <v>0</v>
      </c>
      <c r="H692" t="e">
        <f t="shared" si="51"/>
        <v>#NUM!</v>
      </c>
    </row>
    <row r="693" spans="1:8" x14ac:dyDescent="0.2">
      <c r="A693" s="1">
        <v>41180</v>
      </c>
      <c r="B693">
        <v>375.84189179999998</v>
      </c>
      <c r="C693" s="2">
        <f t="shared" si="49"/>
        <v>-2.6437839316492619E-3</v>
      </c>
      <c r="D693">
        <v>-1.6552631713890873</v>
      </c>
      <c r="E693" s="15">
        <v>0</v>
      </c>
      <c r="F693">
        <f t="shared" si="52"/>
        <v>3.3131726678157273E-3</v>
      </c>
      <c r="G693">
        <f t="shared" si="50"/>
        <v>0</v>
      </c>
      <c r="H693" t="e">
        <f t="shared" si="51"/>
        <v>#NUM!</v>
      </c>
    </row>
    <row r="694" spans="1:8" x14ac:dyDescent="0.2">
      <c r="A694" s="1">
        <v>41183</v>
      </c>
      <c r="B694">
        <v>379.46830210000002</v>
      </c>
      <c r="C694" s="2">
        <f t="shared" si="49"/>
        <v>9.6487655557294418E-3</v>
      </c>
      <c r="D694">
        <v>-4.649604432579439</v>
      </c>
      <c r="E694" s="15">
        <v>0</v>
      </c>
      <c r="F694">
        <f t="shared" si="52"/>
        <v>3.2527393615183202E-3</v>
      </c>
      <c r="G694">
        <f t="shared" si="50"/>
        <v>0</v>
      </c>
      <c r="H694" t="e">
        <f t="shared" si="51"/>
        <v>#NUM!</v>
      </c>
    </row>
    <row r="695" spans="1:8" x14ac:dyDescent="0.2">
      <c r="A695" s="1">
        <v>41184</v>
      </c>
      <c r="B695">
        <v>377.08225069999997</v>
      </c>
      <c r="C695" s="2">
        <f t="shared" si="49"/>
        <v>-6.2878806656458328E-3</v>
      </c>
      <c r="D695">
        <v>-1.6516772150103789</v>
      </c>
      <c r="E695" s="15">
        <v>0</v>
      </c>
      <c r="F695">
        <f t="shared" si="52"/>
        <v>3.2475618985003648E-3</v>
      </c>
      <c r="G695">
        <f t="shared" si="50"/>
        <v>0</v>
      </c>
      <c r="H695" t="e">
        <f t="shared" si="51"/>
        <v>#NUM!</v>
      </c>
    </row>
    <row r="696" spans="1:8" x14ac:dyDescent="0.2">
      <c r="A696" s="1">
        <v>41185</v>
      </c>
      <c r="B696">
        <v>379.82697569999999</v>
      </c>
      <c r="C696" s="2">
        <f t="shared" si="49"/>
        <v>7.278849627381883E-3</v>
      </c>
      <c r="D696">
        <v>-2.1575998360067903</v>
      </c>
      <c r="E696" s="15">
        <v>0</v>
      </c>
      <c r="F696">
        <f t="shared" si="52"/>
        <v>3.2471183331066332E-3</v>
      </c>
      <c r="G696">
        <f t="shared" si="50"/>
        <v>0</v>
      </c>
      <c r="H696" t="e">
        <f t="shared" si="51"/>
        <v>#NUM!</v>
      </c>
    </row>
    <row r="697" spans="1:8" x14ac:dyDescent="0.2">
      <c r="A697" s="1">
        <v>41186</v>
      </c>
      <c r="B697">
        <v>382.59159829999999</v>
      </c>
      <c r="C697" s="2">
        <f t="shared" si="49"/>
        <v>7.2786367921997899E-3</v>
      </c>
      <c r="D697">
        <v>-2.9240222423665004E-5</v>
      </c>
      <c r="E697" s="15">
        <v>0</v>
      </c>
      <c r="F697">
        <f t="shared" si="52"/>
        <v>3.2470803318195487E-3</v>
      </c>
      <c r="G697">
        <f t="shared" si="50"/>
        <v>0</v>
      </c>
      <c r="H697" t="e">
        <f t="shared" si="51"/>
        <v>#NUM!</v>
      </c>
    </row>
    <row r="698" spans="1:8" x14ac:dyDescent="0.2">
      <c r="A698" s="1">
        <v>41187</v>
      </c>
      <c r="B698">
        <v>382.39234859999999</v>
      </c>
      <c r="C698" s="2">
        <f t="shared" si="49"/>
        <v>-5.2078953350083478E-4</v>
      </c>
      <c r="D698">
        <v>-1.0715504219222676</v>
      </c>
      <c r="E698" s="15">
        <v>1</v>
      </c>
      <c r="F698">
        <f t="shared" si="52"/>
        <v>3.2470770761602015E-3</v>
      </c>
      <c r="G698">
        <f t="shared" si="50"/>
        <v>307.96928331080454</v>
      </c>
      <c r="H698">
        <f t="shared" si="51"/>
        <v>-4.9770148048402074</v>
      </c>
    </row>
    <row r="699" spans="1:8" x14ac:dyDescent="0.2">
      <c r="A699" s="1">
        <v>41190</v>
      </c>
      <c r="B699">
        <v>377.50565210000002</v>
      </c>
      <c r="C699" s="2">
        <f t="shared" si="49"/>
        <v>-1.2779273743031089E-2</v>
      </c>
      <c r="D699">
        <v>23.538269149010471</v>
      </c>
      <c r="E699" s="15">
        <v>1</v>
      </c>
      <c r="F699">
        <f t="shared" si="52"/>
        <v>12314.402435469154</v>
      </c>
      <c r="G699">
        <f t="shared" si="50"/>
        <v>8.1205726809747714E-5</v>
      </c>
      <c r="H699">
        <f t="shared" si="51"/>
        <v>-2.2996056607206736E+16</v>
      </c>
    </row>
    <row r="700" spans="1:8" x14ac:dyDescent="0.2">
      <c r="A700" s="1">
        <v>41191</v>
      </c>
      <c r="B700">
        <v>370.65633609999998</v>
      </c>
      <c r="C700" s="2">
        <f t="shared" si="49"/>
        <v>-1.8143611789382383E-2</v>
      </c>
      <c r="D700">
        <v>0.4197686155112394</v>
      </c>
      <c r="E700" s="15">
        <v>0</v>
      </c>
      <c r="F700">
        <f t="shared" si="52"/>
        <v>1055.0066929006261</v>
      </c>
      <c r="G700">
        <f t="shared" si="50"/>
        <v>0</v>
      </c>
      <c r="H700" t="e">
        <f t="shared" si="51"/>
        <v>#NUM!</v>
      </c>
    </row>
    <row r="701" spans="1:8" x14ac:dyDescent="0.2">
      <c r="A701" s="1">
        <v>41192</v>
      </c>
      <c r="B701">
        <v>370.89043709999999</v>
      </c>
      <c r="C701" s="2">
        <f t="shared" si="49"/>
        <v>6.3158504846616505E-4</v>
      </c>
      <c r="D701">
        <v>-1.0348103264001585</v>
      </c>
      <c r="E701" s="15">
        <v>1</v>
      </c>
      <c r="F701">
        <f t="shared" si="52"/>
        <v>90.387865414339259</v>
      </c>
      <c r="G701">
        <f t="shared" si="50"/>
        <v>1.1063431970829114E-2</v>
      </c>
      <c r="H701">
        <f t="shared" si="51"/>
        <v>-66748344.02830717</v>
      </c>
    </row>
    <row r="702" spans="1:8" x14ac:dyDescent="0.2">
      <c r="A702" s="1">
        <v>41193</v>
      </c>
      <c r="B702">
        <v>374.33752559999999</v>
      </c>
      <c r="C702" s="2">
        <f t="shared" si="49"/>
        <v>9.2940883754050463E-3</v>
      </c>
      <c r="D702">
        <v>13.715497774965051</v>
      </c>
      <c r="E702" s="15">
        <v>0</v>
      </c>
      <c r="F702">
        <f t="shared" si="52"/>
        <v>7.7467251009096056</v>
      </c>
      <c r="G702">
        <f t="shared" si="50"/>
        <v>0</v>
      </c>
      <c r="H702" t="e">
        <f t="shared" si="51"/>
        <v>#NUM!</v>
      </c>
    </row>
    <row r="703" spans="1:8" x14ac:dyDescent="0.2">
      <c r="A703" s="1">
        <v>41194</v>
      </c>
      <c r="B703">
        <v>370.98510279999999</v>
      </c>
      <c r="C703" s="2">
        <f t="shared" si="49"/>
        <v>-8.9556151086552984E-3</v>
      </c>
      <c r="D703">
        <v>-1.963581875588202</v>
      </c>
      <c r="E703" s="15">
        <v>0</v>
      </c>
      <c r="F703">
        <f t="shared" si="52"/>
        <v>0.66664899132178046</v>
      </c>
      <c r="G703">
        <f t="shared" si="50"/>
        <v>0</v>
      </c>
      <c r="H703" t="e">
        <f t="shared" si="51"/>
        <v>#NUM!</v>
      </c>
    </row>
    <row r="704" spans="1:8" x14ac:dyDescent="0.2">
      <c r="A704" s="1">
        <v>41197</v>
      </c>
      <c r="B704">
        <v>369.10713929999997</v>
      </c>
      <c r="C704" s="2">
        <f t="shared" si="49"/>
        <v>-5.0620994908586424E-3</v>
      </c>
      <c r="D704">
        <v>-0.43475691737061201</v>
      </c>
      <c r="E704" s="15">
        <v>0</v>
      </c>
      <c r="F704">
        <f t="shared" si="52"/>
        <v>6.0082273934135406E-2</v>
      </c>
      <c r="G704">
        <f t="shared" si="50"/>
        <v>0</v>
      </c>
      <c r="H704" t="e">
        <f t="shared" si="51"/>
        <v>#NUM!</v>
      </c>
    </row>
    <row r="705" spans="1:8" x14ac:dyDescent="0.2">
      <c r="A705" s="1">
        <v>41198</v>
      </c>
      <c r="B705">
        <v>370.96020010000001</v>
      </c>
      <c r="C705" s="2">
        <f t="shared" si="49"/>
        <v>5.0203873149522607E-3</v>
      </c>
      <c r="D705">
        <v>-1.9917599059477777</v>
      </c>
      <c r="E705" s="15">
        <v>1</v>
      </c>
      <c r="F705">
        <f t="shared" si="52"/>
        <v>8.1162813448491973E-3</v>
      </c>
      <c r="G705">
        <f t="shared" si="50"/>
        <v>123.20913451757386</v>
      </c>
      <c r="H705">
        <f t="shared" si="51"/>
        <v>-4.1812858181052519</v>
      </c>
    </row>
    <row r="706" spans="1:8" x14ac:dyDescent="0.2">
      <c r="A706" s="1">
        <v>41199</v>
      </c>
      <c r="B706">
        <v>376.33505680000002</v>
      </c>
      <c r="C706" s="2">
        <f t="shared" si="49"/>
        <v>1.4489038712376976E-2</v>
      </c>
      <c r="D706">
        <v>1.8860400211003947</v>
      </c>
      <c r="E706" s="15">
        <v>0</v>
      </c>
      <c r="F706">
        <f t="shared" si="52"/>
        <v>1970.9928288497495</v>
      </c>
      <c r="G706">
        <f t="shared" si="50"/>
        <v>0</v>
      </c>
      <c r="H706" t="e">
        <f t="shared" si="51"/>
        <v>#NUM!</v>
      </c>
    </row>
    <row r="707" spans="1:8" x14ac:dyDescent="0.2">
      <c r="A707" s="1">
        <v>41200</v>
      </c>
      <c r="B707">
        <v>346.20295579999998</v>
      </c>
      <c r="C707" s="2">
        <f t="shared" si="49"/>
        <v>-8.006721791005901E-2</v>
      </c>
      <c r="D707">
        <v>-6.5260545229728155</v>
      </c>
      <c r="E707" s="15">
        <v>0</v>
      </c>
      <c r="F707">
        <f t="shared" si="52"/>
        <v>168.86254493125173</v>
      </c>
      <c r="G707">
        <f t="shared" si="50"/>
        <v>0</v>
      </c>
      <c r="H707" t="e">
        <f t="shared" si="51"/>
        <v>#NUM!</v>
      </c>
    </row>
    <row r="708" spans="1:8" x14ac:dyDescent="0.2">
      <c r="A708" s="1">
        <v>41201</v>
      </c>
      <c r="B708">
        <v>339.62259160000002</v>
      </c>
      <c r="C708" s="2">
        <f t="shared" ref="C708:C771" si="53">(B708-B707)/B707</f>
        <v>-1.900724442052832E-2</v>
      </c>
      <c r="D708">
        <v>-0.7626089064081194</v>
      </c>
      <c r="E708" s="15">
        <v>0</v>
      </c>
      <c r="F708">
        <f t="shared" si="52"/>
        <v>14.469818963091928</v>
      </c>
      <c r="G708">
        <f t="shared" si="50"/>
        <v>0</v>
      </c>
      <c r="H708" t="e">
        <f t="shared" si="51"/>
        <v>#NUM!</v>
      </c>
    </row>
    <row r="709" spans="1:8" x14ac:dyDescent="0.2">
      <c r="A709" s="1">
        <v>41204</v>
      </c>
      <c r="B709">
        <v>338.06842010000003</v>
      </c>
      <c r="C709" s="2">
        <f t="shared" si="53"/>
        <v>-4.5761723113828196E-3</v>
      </c>
      <c r="D709">
        <v>-0.75924062372552892</v>
      </c>
      <c r="E709" s="15">
        <v>0</v>
      </c>
      <c r="F709">
        <f t="shared" si="52"/>
        <v>1.2426322027381844</v>
      </c>
      <c r="G709">
        <f t="shared" si="50"/>
        <v>0</v>
      </c>
      <c r="H709" t="e">
        <f t="shared" si="51"/>
        <v>#NUM!</v>
      </c>
    </row>
    <row r="710" spans="1:8" x14ac:dyDescent="0.2">
      <c r="A710" s="1">
        <v>41205</v>
      </c>
      <c r="B710">
        <v>338.90527479999997</v>
      </c>
      <c r="C710" s="2">
        <f t="shared" si="53"/>
        <v>2.4754003930695643E-3</v>
      </c>
      <c r="D710">
        <v>-1.5409325140384742</v>
      </c>
      <c r="E710" s="15">
        <v>0</v>
      </c>
      <c r="F710">
        <f t="shared" si="52"/>
        <v>0.10942810587316257</v>
      </c>
      <c r="G710">
        <f t="shared" si="50"/>
        <v>0</v>
      </c>
      <c r="H710" t="e">
        <f t="shared" si="51"/>
        <v>#NUM!</v>
      </c>
    </row>
    <row r="711" spans="1:8" x14ac:dyDescent="0.2">
      <c r="A711" s="1">
        <v>41206</v>
      </c>
      <c r="B711">
        <v>337.38598500000001</v>
      </c>
      <c r="C711" s="2">
        <f t="shared" si="53"/>
        <v>-4.4829334712968225E-3</v>
      </c>
      <c r="D711">
        <v>-2.8109932776320932</v>
      </c>
      <c r="E711" s="15">
        <v>0</v>
      </c>
      <c r="F711">
        <f t="shared" si="52"/>
        <v>1.234385444331983E-2</v>
      </c>
      <c r="G711">
        <f t="shared" si="50"/>
        <v>0</v>
      </c>
      <c r="H711" t="e">
        <f t="shared" si="51"/>
        <v>#NUM!</v>
      </c>
    </row>
    <row r="712" spans="1:8" x14ac:dyDescent="0.2">
      <c r="A712" s="1">
        <v>41207</v>
      </c>
      <c r="B712">
        <v>337.6151112</v>
      </c>
      <c r="C712" s="2">
        <f t="shared" si="53"/>
        <v>6.7912186690266953E-4</v>
      </c>
      <c r="D712">
        <v>-1.1514905075551374</v>
      </c>
      <c r="E712" s="15">
        <v>0</v>
      </c>
      <c r="F712">
        <f t="shared" si="52"/>
        <v>4.0264190389051281E-3</v>
      </c>
      <c r="G712">
        <f t="shared" ref="G712:G775" si="54">E712/F712</f>
        <v>0</v>
      </c>
      <c r="H712" t="e">
        <f t="shared" ref="H712:H775" si="55">-LOG(G712^2)-(F712^2)/(G712^2)</f>
        <v>#NUM!</v>
      </c>
    </row>
    <row r="713" spans="1:8" x14ac:dyDescent="0.2">
      <c r="A713" s="1">
        <v>41208</v>
      </c>
      <c r="B713">
        <v>336.31499930000001</v>
      </c>
      <c r="C713" s="2">
        <f t="shared" si="53"/>
        <v>-3.8508699903240301E-3</v>
      </c>
      <c r="D713">
        <v>-6.6703666572938216</v>
      </c>
      <c r="E713" s="15">
        <v>0</v>
      </c>
      <c r="F713">
        <f t="shared" ref="F713:F776" si="56" xml:space="preserve"> $K$5 + $K$6 * G712 ^ 2 + $K$7 * F712</f>
        <v>3.3138448501181502E-3</v>
      </c>
      <c r="G713">
        <f t="shared" si="54"/>
        <v>0</v>
      </c>
      <c r="H713" t="e">
        <f t="shared" si="55"/>
        <v>#NUM!</v>
      </c>
    </row>
    <row r="714" spans="1:8" x14ac:dyDescent="0.2">
      <c r="A714" s="1">
        <v>41213</v>
      </c>
      <c r="B714">
        <v>338.88037220000001</v>
      </c>
      <c r="C714" s="2">
        <f t="shared" si="53"/>
        <v>7.6278872644381631E-3</v>
      </c>
      <c r="D714">
        <v>-2.9808218100337158</v>
      </c>
      <c r="E714" s="15">
        <v>1</v>
      </c>
      <c r="F714">
        <f t="shared" si="56"/>
        <v>3.252796948951895E-3</v>
      </c>
      <c r="G714">
        <f t="shared" si="54"/>
        <v>307.42773548229519</v>
      </c>
      <c r="H714">
        <f t="shared" si="55"/>
        <v>-4.9754860922399482</v>
      </c>
    </row>
    <row r="715" spans="1:8" x14ac:dyDescent="0.2">
      <c r="A715" s="1">
        <v>41214</v>
      </c>
      <c r="B715">
        <v>342.5117568</v>
      </c>
      <c r="C715" s="2">
        <f t="shared" si="53"/>
        <v>1.0715830416571969E-2</v>
      </c>
      <c r="D715">
        <v>0.40482286183358401</v>
      </c>
      <c r="E715" s="15">
        <v>0</v>
      </c>
      <c r="F715">
        <f t="shared" si="56"/>
        <v>12271.132063868892</v>
      </c>
      <c r="G715">
        <f t="shared" si="54"/>
        <v>0</v>
      </c>
      <c r="H715" t="e">
        <f t="shared" si="55"/>
        <v>#NUM!</v>
      </c>
    </row>
    <row r="716" spans="1:8" x14ac:dyDescent="0.2">
      <c r="A716" s="1">
        <v>41215</v>
      </c>
      <c r="B716">
        <v>342.67615510000002</v>
      </c>
      <c r="C716" s="2">
        <f t="shared" si="53"/>
        <v>4.7997856054912566E-4</v>
      </c>
      <c r="D716">
        <v>-0.95520845871106341</v>
      </c>
      <c r="E716" s="15">
        <v>0</v>
      </c>
      <c r="F716">
        <f t="shared" si="56"/>
        <v>1051.2996187305855</v>
      </c>
      <c r="G716">
        <f t="shared" si="54"/>
        <v>0</v>
      </c>
      <c r="H716" t="e">
        <f t="shared" si="55"/>
        <v>#NUM!</v>
      </c>
    </row>
    <row r="717" spans="1:8" x14ac:dyDescent="0.2">
      <c r="A717" s="1">
        <v>41218</v>
      </c>
      <c r="B717">
        <v>340.20541759999998</v>
      </c>
      <c r="C717" s="2">
        <f t="shared" si="53"/>
        <v>-7.2101237953922665E-3</v>
      </c>
      <c r="D717">
        <v>-16.021762195260205</v>
      </c>
      <c r="E717" s="15">
        <v>0</v>
      </c>
      <c r="F717">
        <f t="shared" si="56"/>
        <v>90.070271680087018</v>
      </c>
      <c r="G717">
        <f t="shared" si="54"/>
        <v>0</v>
      </c>
      <c r="H717" t="e">
        <f t="shared" si="55"/>
        <v>#NUM!</v>
      </c>
    </row>
    <row r="718" spans="1:8" x14ac:dyDescent="0.2">
      <c r="A718" s="1">
        <v>41219</v>
      </c>
      <c r="B718">
        <v>339.58774030000001</v>
      </c>
      <c r="C718" s="2">
        <f t="shared" si="53"/>
        <v>-1.8156010105818154E-3</v>
      </c>
      <c r="D718">
        <v>-0.74818726250690715</v>
      </c>
      <c r="E718" s="15">
        <v>1</v>
      </c>
      <c r="F718">
        <f t="shared" si="56"/>
        <v>7.7195002092089764</v>
      </c>
      <c r="G718">
        <f t="shared" si="54"/>
        <v>0.1295420652760719</v>
      </c>
      <c r="H718">
        <f t="shared" si="55"/>
        <v>-3549.2743792442279</v>
      </c>
    </row>
    <row r="719" spans="1:8" x14ac:dyDescent="0.2">
      <c r="A719" s="1">
        <v>41220</v>
      </c>
      <c r="B719">
        <v>332.31496190000001</v>
      </c>
      <c r="C719" s="2">
        <f t="shared" si="53"/>
        <v>-2.1416492814419756E-2</v>
      </c>
      <c r="D719">
        <v>10.795814548239742</v>
      </c>
      <c r="E719" s="15">
        <v>1</v>
      </c>
      <c r="F719">
        <f t="shared" si="56"/>
        <v>0.66649538452368673</v>
      </c>
      <c r="G719">
        <f t="shared" si="54"/>
        <v>1.5003854838614576</v>
      </c>
      <c r="H719">
        <f t="shared" si="55"/>
        <v>-0.54973364881179787</v>
      </c>
    </row>
    <row r="720" spans="1:8" x14ac:dyDescent="0.2">
      <c r="A720" s="1">
        <v>41221</v>
      </c>
      <c r="B720">
        <v>324.9276509</v>
      </c>
      <c r="C720" s="2">
        <f t="shared" si="53"/>
        <v>-2.222984772567356E-2</v>
      </c>
      <c r="D720">
        <v>3.7977969516379953E-2</v>
      </c>
      <c r="E720" s="15">
        <v>0</v>
      </c>
      <c r="F720">
        <f t="shared" si="56"/>
        <v>0.35235250049456057</v>
      </c>
      <c r="G720">
        <f t="shared" si="54"/>
        <v>0</v>
      </c>
      <c r="H720" t="e">
        <f t="shared" si="55"/>
        <v>#NUM!</v>
      </c>
    </row>
    <row r="721" spans="1:8" x14ac:dyDescent="0.2">
      <c r="A721" s="1">
        <v>41222</v>
      </c>
      <c r="B721">
        <v>330.27760499999999</v>
      </c>
      <c r="C721" s="2">
        <f t="shared" si="53"/>
        <v>1.6465062561408467E-2</v>
      </c>
      <c r="D721">
        <v>-1.7406736548353743</v>
      </c>
      <c r="E721" s="15">
        <v>0</v>
      </c>
      <c r="F721">
        <f t="shared" si="56"/>
        <v>3.3155756792694495E-2</v>
      </c>
      <c r="G721">
        <f t="shared" si="54"/>
        <v>0</v>
      </c>
      <c r="H721" t="e">
        <f t="shared" si="55"/>
        <v>#NUM!</v>
      </c>
    </row>
    <row r="722" spans="1:8" x14ac:dyDescent="0.2">
      <c r="A722" s="1">
        <v>41225</v>
      </c>
      <c r="B722">
        <v>331.7072642</v>
      </c>
      <c r="C722" s="2">
        <f t="shared" si="53"/>
        <v>4.3286592198705188E-3</v>
      </c>
      <c r="D722">
        <v>-0.73710034785921685</v>
      </c>
      <c r="E722" s="15">
        <v>0</v>
      </c>
      <c r="F722">
        <f t="shared" si="56"/>
        <v>5.8094235003341901E-3</v>
      </c>
      <c r="G722">
        <f t="shared" si="54"/>
        <v>0</v>
      </c>
      <c r="H722" t="e">
        <f t="shared" si="55"/>
        <v>#NUM!</v>
      </c>
    </row>
    <row r="723" spans="1:8" x14ac:dyDescent="0.2">
      <c r="A723" s="1">
        <v>41226</v>
      </c>
      <c r="B723">
        <v>328.29502710000003</v>
      </c>
      <c r="C723" s="2">
        <f t="shared" si="53"/>
        <v>-1.0286892897053325E-2</v>
      </c>
      <c r="D723">
        <v>-3.3764617112457818</v>
      </c>
      <c r="E723" s="15">
        <v>0</v>
      </c>
      <c r="F723">
        <f t="shared" si="56"/>
        <v>3.4665990220389816E-3</v>
      </c>
      <c r="G723">
        <f t="shared" si="54"/>
        <v>0</v>
      </c>
      <c r="H723" t="e">
        <f t="shared" si="55"/>
        <v>#NUM!</v>
      </c>
    </row>
    <row r="724" spans="1:8" x14ac:dyDescent="0.2">
      <c r="A724" s="1">
        <v>41227</v>
      </c>
      <c r="B724">
        <v>325.05716740000003</v>
      </c>
      <c r="C724" s="2">
        <f t="shared" si="53"/>
        <v>-9.8626522874918111E-3</v>
      </c>
      <c r="D724">
        <v>-4.124088913991094E-2</v>
      </c>
      <c r="E724" s="15">
        <v>0</v>
      </c>
      <c r="F724">
        <f t="shared" si="56"/>
        <v>3.2658837569459237E-3</v>
      </c>
      <c r="G724">
        <f t="shared" si="54"/>
        <v>0</v>
      </c>
      <c r="H724" t="e">
        <f t="shared" si="55"/>
        <v>#NUM!</v>
      </c>
    </row>
    <row r="725" spans="1:8" x14ac:dyDescent="0.2">
      <c r="A725" s="1">
        <v>41228</v>
      </c>
      <c r="B725">
        <v>322.42203110000003</v>
      </c>
      <c r="C725" s="2">
        <f t="shared" si="53"/>
        <v>-8.1066857287823615E-3</v>
      </c>
      <c r="D725">
        <v>-0.17804202232055091</v>
      </c>
      <c r="E725" s="15">
        <v>0</v>
      </c>
      <c r="F725">
        <f t="shared" si="56"/>
        <v>3.2486880096696739E-3</v>
      </c>
      <c r="G725">
        <f t="shared" si="54"/>
        <v>0</v>
      </c>
      <c r="H725" t="e">
        <f t="shared" si="55"/>
        <v>#NUM!</v>
      </c>
    </row>
    <row r="726" spans="1:8" x14ac:dyDescent="0.2">
      <c r="A726" s="1">
        <v>41229</v>
      </c>
      <c r="B726">
        <v>322.38217500000002</v>
      </c>
      <c r="C726" s="2">
        <f t="shared" si="53"/>
        <v>-1.2361469178775547E-4</v>
      </c>
      <c r="D726">
        <v>-0.98475151301981922</v>
      </c>
      <c r="E726" s="15">
        <v>0</v>
      </c>
      <c r="F726">
        <f t="shared" si="56"/>
        <v>3.2472148096903321E-3</v>
      </c>
      <c r="G726">
        <f t="shared" si="54"/>
        <v>0</v>
      </c>
      <c r="H726" t="e">
        <f t="shared" si="55"/>
        <v>#NUM!</v>
      </c>
    </row>
    <row r="727" spans="1:8" x14ac:dyDescent="0.2">
      <c r="A727" s="1">
        <v>41232</v>
      </c>
      <c r="B727">
        <v>332.85793180000002</v>
      </c>
      <c r="C727" s="2">
        <f t="shared" si="53"/>
        <v>3.2494838773266539E-2</v>
      </c>
      <c r="D727">
        <v>-263.8719798861747</v>
      </c>
      <c r="E727" s="15">
        <v>0</v>
      </c>
      <c r="F727">
        <f t="shared" si="56"/>
        <v>3.247088597194634E-3</v>
      </c>
      <c r="G727">
        <f t="shared" si="54"/>
        <v>0</v>
      </c>
      <c r="H727" t="e">
        <f t="shared" si="55"/>
        <v>#NUM!</v>
      </c>
    </row>
    <row r="728" spans="1:8" x14ac:dyDescent="0.2">
      <c r="A728" s="1">
        <v>41233</v>
      </c>
      <c r="B728">
        <v>333.73464209999997</v>
      </c>
      <c r="C728" s="2">
        <f t="shared" si="53"/>
        <v>2.6338873622718233E-3</v>
      </c>
      <c r="D728">
        <v>-0.91894443974165152</v>
      </c>
      <c r="E728" s="15">
        <v>0</v>
      </c>
      <c r="F728">
        <f t="shared" si="56"/>
        <v>3.2470777842742607E-3</v>
      </c>
      <c r="G728">
        <f t="shared" si="54"/>
        <v>0</v>
      </c>
      <c r="H728" t="e">
        <f t="shared" si="55"/>
        <v>#NUM!</v>
      </c>
    </row>
    <row r="729" spans="1:8" x14ac:dyDescent="0.2">
      <c r="A729" s="1">
        <v>41234</v>
      </c>
      <c r="B729">
        <v>331.69231079999997</v>
      </c>
      <c r="C729" s="2">
        <f t="shared" si="53"/>
        <v>-6.1196263209260674E-3</v>
      </c>
      <c r="D729">
        <v>-3.3234199034417582</v>
      </c>
      <c r="E729" s="15">
        <v>0</v>
      </c>
      <c r="F729">
        <f t="shared" si="56"/>
        <v>3.2470768579060246E-3</v>
      </c>
      <c r="G729">
        <f t="shared" si="54"/>
        <v>0</v>
      </c>
      <c r="H729" t="e">
        <f t="shared" si="55"/>
        <v>#NUM!</v>
      </c>
    </row>
    <row r="730" spans="1:8" x14ac:dyDescent="0.2">
      <c r="A730" s="1">
        <v>41236</v>
      </c>
      <c r="B730">
        <v>332.73839379999998</v>
      </c>
      <c r="C730" s="2">
        <f t="shared" si="53"/>
        <v>3.1537752487448079E-3</v>
      </c>
      <c r="D730">
        <v>-1.5153542199072632</v>
      </c>
      <c r="E730" s="15">
        <v>0</v>
      </c>
      <c r="F730">
        <f t="shared" si="56"/>
        <v>3.2470767785418866E-3</v>
      </c>
      <c r="G730">
        <f t="shared" si="54"/>
        <v>0</v>
      </c>
      <c r="H730" t="e">
        <f t="shared" si="55"/>
        <v>#NUM!</v>
      </c>
    </row>
    <row r="731" spans="1:8" x14ac:dyDescent="0.2">
      <c r="A731" s="1">
        <v>41239</v>
      </c>
      <c r="B731">
        <v>329.3411102</v>
      </c>
      <c r="C731" s="2">
        <f t="shared" si="53"/>
        <v>-1.0210073929857325E-2</v>
      </c>
      <c r="D731">
        <v>-4.237413298211691</v>
      </c>
      <c r="E731" s="15">
        <v>0</v>
      </c>
      <c r="F731">
        <f t="shared" si="56"/>
        <v>3.2470767717425746E-3</v>
      </c>
      <c r="G731">
        <f t="shared" si="54"/>
        <v>0</v>
      </c>
      <c r="H731" t="e">
        <f t="shared" si="55"/>
        <v>#NUM!</v>
      </c>
    </row>
    <row r="732" spans="1:8" x14ac:dyDescent="0.2">
      <c r="A732" s="1">
        <v>41240</v>
      </c>
      <c r="B732">
        <v>334.1032644</v>
      </c>
      <c r="C732" s="2">
        <f t="shared" si="53"/>
        <v>1.4459640939171152E-2</v>
      </c>
      <c r="D732">
        <v>-2.4162131477703421</v>
      </c>
      <c r="E732" s="15">
        <v>1</v>
      </c>
      <c r="F732">
        <f t="shared" si="56"/>
        <v>3.2470767711600618E-3</v>
      </c>
      <c r="G732">
        <f t="shared" si="54"/>
        <v>307.96931223856978</v>
      </c>
      <c r="H732">
        <f t="shared" si="55"/>
        <v>-4.9770148864273578</v>
      </c>
    </row>
    <row r="733" spans="1:8" x14ac:dyDescent="0.2">
      <c r="A733" s="1">
        <v>41241</v>
      </c>
      <c r="B733">
        <v>340.55908590000001</v>
      </c>
      <c r="C733" s="2">
        <f t="shared" si="53"/>
        <v>1.932283275230403E-2</v>
      </c>
      <c r="D733">
        <v>0.3363286705106554</v>
      </c>
      <c r="E733" s="15">
        <v>0</v>
      </c>
      <c r="F733">
        <f t="shared" si="56"/>
        <v>12314.404748869098</v>
      </c>
      <c r="G733">
        <f t="shared" si="54"/>
        <v>0</v>
      </c>
      <c r="H733" t="e">
        <f t="shared" si="55"/>
        <v>#NUM!</v>
      </c>
    </row>
    <row r="734" spans="1:8" x14ac:dyDescent="0.2">
      <c r="A734" s="1">
        <v>41242</v>
      </c>
      <c r="B734">
        <v>344.6537586</v>
      </c>
      <c r="C734" s="2">
        <f t="shared" si="53"/>
        <v>1.2023384104344019E-2</v>
      </c>
      <c r="D734">
        <v>-0.37776286435484641</v>
      </c>
      <c r="E734" s="15">
        <v>0</v>
      </c>
      <c r="F734">
        <f t="shared" si="56"/>
        <v>1055.0068910941663</v>
      </c>
      <c r="G734">
        <f t="shared" si="54"/>
        <v>0</v>
      </c>
      <c r="H734" t="e">
        <f t="shared" si="55"/>
        <v>#NUM!</v>
      </c>
    </row>
    <row r="735" spans="1:8" x14ac:dyDescent="0.2">
      <c r="A735" s="1">
        <v>41243</v>
      </c>
      <c r="B735">
        <v>347.8816392</v>
      </c>
      <c r="C735" s="2">
        <f t="shared" si="53"/>
        <v>9.3655749268825514E-3</v>
      </c>
      <c r="D735">
        <v>-0.22105333693042445</v>
      </c>
      <c r="E735" s="15">
        <v>0</v>
      </c>
      <c r="F735">
        <f t="shared" si="56"/>
        <v>90.387882394044453</v>
      </c>
      <c r="G735">
        <f t="shared" si="54"/>
        <v>0</v>
      </c>
      <c r="H735" t="e">
        <f t="shared" si="55"/>
        <v>#NUM!</v>
      </c>
    </row>
    <row r="736" spans="1:8" x14ac:dyDescent="0.2">
      <c r="A736" s="1">
        <v>41246</v>
      </c>
      <c r="B736">
        <v>346.32746759999998</v>
      </c>
      <c r="C736" s="2">
        <f t="shared" si="53"/>
        <v>-4.4675298287487715E-3</v>
      </c>
      <c r="D736">
        <v>-1.4770160789515827</v>
      </c>
      <c r="E736" s="15">
        <v>1</v>
      </c>
      <c r="F736">
        <f t="shared" si="56"/>
        <v>7.7467106636151684</v>
      </c>
      <c r="G736">
        <f t="shared" si="54"/>
        <v>0.12908704654438824</v>
      </c>
      <c r="H736">
        <f t="shared" si="55"/>
        <v>-3599.6050308722834</v>
      </c>
    </row>
    <row r="737" spans="1:8" x14ac:dyDescent="0.2">
      <c r="A737" s="1">
        <v>41247</v>
      </c>
      <c r="B737">
        <v>344.22535240000002</v>
      </c>
      <c r="C737" s="2">
        <f t="shared" si="53"/>
        <v>-6.0697328299349641E-3</v>
      </c>
      <c r="D737">
        <v>0.35863286035068831</v>
      </c>
      <c r="E737" s="15">
        <v>0</v>
      </c>
      <c r="F737">
        <f t="shared" si="56"/>
        <v>0.6688112885812677</v>
      </c>
      <c r="G737">
        <f t="shared" si="54"/>
        <v>0</v>
      </c>
      <c r="H737" t="e">
        <f t="shared" si="55"/>
        <v>#NUM!</v>
      </c>
    </row>
    <row r="738" spans="1:8" x14ac:dyDescent="0.2">
      <c r="A738" s="1">
        <v>41248</v>
      </c>
      <c r="B738">
        <v>342.62635030000001</v>
      </c>
      <c r="C738" s="2">
        <f t="shared" si="53"/>
        <v>-4.6452188627347799E-3</v>
      </c>
      <c r="D738">
        <v>-0.23469137886509703</v>
      </c>
      <c r="E738" s="15">
        <v>0</v>
      </c>
      <c r="F738">
        <f t="shared" si="56"/>
        <v>6.0267523009202177E-2</v>
      </c>
      <c r="G738">
        <f t="shared" si="54"/>
        <v>0</v>
      </c>
      <c r="H738" t="e">
        <f t="shared" si="55"/>
        <v>#NUM!</v>
      </c>
    </row>
    <row r="739" spans="1:8" x14ac:dyDescent="0.2">
      <c r="A739" s="1">
        <v>41249</v>
      </c>
      <c r="B739">
        <v>344.27515720000002</v>
      </c>
      <c r="C739" s="2">
        <f t="shared" si="53"/>
        <v>4.8122594732026101E-3</v>
      </c>
      <c r="D739">
        <v>-2.0359596857336206</v>
      </c>
      <c r="E739" s="15">
        <v>0</v>
      </c>
      <c r="F739">
        <f t="shared" si="56"/>
        <v>8.1321520673701287E-3</v>
      </c>
      <c r="G739">
        <f t="shared" si="54"/>
        <v>0</v>
      </c>
      <c r="H739" t="e">
        <f t="shared" si="55"/>
        <v>#NUM!</v>
      </c>
    </row>
    <row r="740" spans="1:8" x14ac:dyDescent="0.2">
      <c r="A740" s="1">
        <v>41250</v>
      </c>
      <c r="B740">
        <v>340.82806870000002</v>
      </c>
      <c r="C740" s="2">
        <f t="shared" si="53"/>
        <v>-1.0012597272586493E-2</v>
      </c>
      <c r="D740">
        <v>-3.0806436827320542</v>
      </c>
      <c r="E740" s="15">
        <v>0</v>
      </c>
      <c r="F740">
        <f t="shared" si="56"/>
        <v>3.6655926233057226E-3</v>
      </c>
      <c r="G740">
        <f t="shared" si="54"/>
        <v>0</v>
      </c>
      <c r="H740" t="e">
        <f t="shared" si="55"/>
        <v>#NUM!</v>
      </c>
    </row>
    <row r="741" spans="1:8" x14ac:dyDescent="0.2">
      <c r="A741" s="1">
        <v>41253</v>
      </c>
      <c r="B741">
        <v>341.43082249999998</v>
      </c>
      <c r="C741" s="2">
        <f t="shared" si="53"/>
        <v>1.7684981236991632E-3</v>
      </c>
      <c r="D741">
        <v>-1.1766273101327203</v>
      </c>
      <c r="E741" s="15">
        <v>1</v>
      </c>
      <c r="F741">
        <f t="shared" si="56"/>
        <v>3.2829320052462575E-3</v>
      </c>
      <c r="G741">
        <f t="shared" si="54"/>
        <v>304.60576046106337</v>
      </c>
      <c r="H741">
        <f t="shared" si="55"/>
        <v>-4.9674762243328665</v>
      </c>
    </row>
    <row r="742" spans="1:8" x14ac:dyDescent="0.2">
      <c r="A742" s="1">
        <v>41254</v>
      </c>
      <c r="B742">
        <v>347.13941970000002</v>
      </c>
      <c r="C742" s="2">
        <f t="shared" si="53"/>
        <v>1.6719630519005185E-2</v>
      </c>
      <c r="D742">
        <v>8.4541409430691257</v>
      </c>
      <c r="E742" s="15">
        <v>0</v>
      </c>
      <c r="F742">
        <f t="shared" si="56"/>
        <v>12046.884995278226</v>
      </c>
      <c r="G742">
        <f t="shared" si="54"/>
        <v>0</v>
      </c>
      <c r="H742" t="e">
        <f t="shared" si="55"/>
        <v>#NUM!</v>
      </c>
    </row>
    <row r="743" spans="1:8" x14ac:dyDescent="0.2">
      <c r="A743" s="1">
        <v>41255</v>
      </c>
      <c r="B743">
        <v>347.47816549999999</v>
      </c>
      <c r="C743" s="2">
        <f t="shared" si="53"/>
        <v>9.7582060917401957E-4</v>
      </c>
      <c r="D743">
        <v>-0.9416362336437516</v>
      </c>
      <c r="E743" s="15">
        <v>1</v>
      </c>
      <c r="F743">
        <f t="shared" si="56"/>
        <v>1032.0878466855584</v>
      </c>
      <c r="G743">
        <f t="shared" si="54"/>
        <v>9.6890977179064257E-4</v>
      </c>
      <c r="H743">
        <f t="shared" si="55"/>
        <v>-1134662380729.5698</v>
      </c>
    </row>
    <row r="744" spans="1:8" x14ac:dyDescent="0.2">
      <c r="A744" s="1">
        <v>41256</v>
      </c>
      <c r="B744">
        <v>350.03856400000001</v>
      </c>
      <c r="C744" s="2">
        <f t="shared" si="53"/>
        <v>7.3685162240791774E-3</v>
      </c>
      <c r="D744">
        <v>6.5510971533141076</v>
      </c>
      <c r="E744" s="15">
        <v>0</v>
      </c>
      <c r="F744">
        <f t="shared" si="56"/>
        <v>88.424354254738091</v>
      </c>
      <c r="G744">
        <f t="shared" si="54"/>
        <v>0</v>
      </c>
      <c r="H744" t="e">
        <f t="shared" si="55"/>
        <v>#NUM!</v>
      </c>
    </row>
    <row r="745" spans="1:8" x14ac:dyDescent="0.2">
      <c r="A745" s="1">
        <v>41257</v>
      </c>
      <c r="B745">
        <v>349.66994169999998</v>
      </c>
      <c r="C745" s="2">
        <f t="shared" si="53"/>
        <v>-1.0530905389042416E-3</v>
      </c>
      <c r="D745">
        <v>-1.1429175843384729</v>
      </c>
      <c r="E745" s="15">
        <v>0</v>
      </c>
      <c r="F745">
        <f t="shared" si="56"/>
        <v>7.5784906050278789</v>
      </c>
      <c r="G745">
        <f t="shared" si="54"/>
        <v>0</v>
      </c>
      <c r="H745" t="e">
        <f t="shared" si="55"/>
        <v>#NUM!</v>
      </c>
    </row>
    <row r="746" spans="1:8" x14ac:dyDescent="0.2">
      <c r="A746" s="1">
        <v>41260</v>
      </c>
      <c r="B746">
        <v>359.04483579999999</v>
      </c>
      <c r="C746" s="2">
        <f t="shared" si="53"/>
        <v>2.6810694835311909E-2</v>
      </c>
      <c r="D746">
        <v>-26.459059639078031</v>
      </c>
      <c r="E746" s="15">
        <v>0</v>
      </c>
      <c r="F746">
        <f t="shared" si="56"/>
        <v>0.65223594768512316</v>
      </c>
      <c r="G746">
        <f t="shared" si="54"/>
        <v>0</v>
      </c>
      <c r="H746" t="e">
        <f t="shared" si="55"/>
        <v>#NUM!</v>
      </c>
    </row>
    <row r="747" spans="1:8" x14ac:dyDescent="0.2">
      <c r="A747" s="1">
        <v>41261</v>
      </c>
      <c r="B747">
        <v>359.18927539999999</v>
      </c>
      <c r="C747" s="2">
        <f t="shared" si="53"/>
        <v>4.0228847653014574E-4</v>
      </c>
      <c r="D747">
        <v>-0.98499522377166071</v>
      </c>
      <c r="E747" s="15">
        <v>0</v>
      </c>
      <c r="F747">
        <f t="shared" si="56"/>
        <v>5.8847474698797655E-2</v>
      </c>
      <c r="G747">
        <f t="shared" si="54"/>
        <v>0</v>
      </c>
      <c r="H747" t="e">
        <f t="shared" si="55"/>
        <v>#NUM!</v>
      </c>
    </row>
    <row r="748" spans="1:8" x14ac:dyDescent="0.2">
      <c r="A748" s="1">
        <v>41262</v>
      </c>
      <c r="B748">
        <v>358.71109480000001</v>
      </c>
      <c r="C748" s="2">
        <f t="shared" si="53"/>
        <v>-1.3312774983814935E-3</v>
      </c>
      <c r="D748">
        <v>-4.3092608315906693</v>
      </c>
      <c r="E748" s="15">
        <v>0</v>
      </c>
      <c r="F748">
        <f t="shared" si="56"/>
        <v>8.0104931997475766E-3</v>
      </c>
      <c r="G748">
        <f t="shared" si="54"/>
        <v>0</v>
      </c>
      <c r="H748" t="e">
        <f t="shared" si="55"/>
        <v>#NUM!</v>
      </c>
    </row>
    <row r="749" spans="1:8" x14ac:dyDescent="0.2">
      <c r="A749" s="1">
        <v>41263</v>
      </c>
      <c r="B749">
        <v>359.83188530000001</v>
      </c>
      <c r="C749" s="2">
        <f t="shared" si="53"/>
        <v>3.124493544379766E-3</v>
      </c>
      <c r="D749">
        <v>-3.3469889246820315</v>
      </c>
      <c r="E749" s="15">
        <v>0</v>
      </c>
      <c r="F749">
        <f t="shared" si="56"/>
        <v>3.6551698229243855E-3</v>
      </c>
      <c r="G749">
        <f t="shared" si="54"/>
        <v>0</v>
      </c>
      <c r="H749" t="e">
        <f t="shared" si="55"/>
        <v>#NUM!</v>
      </c>
    </row>
    <row r="750" spans="1:8" x14ac:dyDescent="0.2">
      <c r="A750" s="1">
        <v>41264</v>
      </c>
      <c r="B750">
        <v>356.4794321</v>
      </c>
      <c r="C750" s="2">
        <f t="shared" si="53"/>
        <v>-9.3167207714374648E-3</v>
      </c>
      <c r="D750">
        <v>-3.9818339001519365</v>
      </c>
      <c r="E750" s="15">
        <v>0</v>
      </c>
      <c r="F750">
        <f t="shared" si="56"/>
        <v>3.2820390595045116E-3</v>
      </c>
      <c r="G750">
        <f t="shared" si="54"/>
        <v>0</v>
      </c>
      <c r="H750" t="e">
        <f t="shared" si="55"/>
        <v>#NUM!</v>
      </c>
    </row>
    <row r="751" spans="1:8" x14ac:dyDescent="0.2">
      <c r="A751" s="1">
        <v>41267</v>
      </c>
      <c r="B751">
        <v>353.4258686</v>
      </c>
      <c r="C751" s="2">
        <f t="shared" si="53"/>
        <v>-8.5658897120981913E-3</v>
      </c>
      <c r="D751">
        <v>-8.0589627805645686E-2</v>
      </c>
      <c r="E751" s="15">
        <v>0</v>
      </c>
      <c r="F751">
        <f t="shared" si="56"/>
        <v>3.2500720723110483E-3</v>
      </c>
      <c r="G751">
        <f t="shared" si="54"/>
        <v>0</v>
      </c>
      <c r="H751" t="e">
        <f t="shared" si="55"/>
        <v>#NUM!</v>
      </c>
    </row>
    <row r="752" spans="1:8" x14ac:dyDescent="0.2">
      <c r="A752" s="1">
        <v>41269</v>
      </c>
      <c r="B752">
        <v>353.11205580000001</v>
      </c>
      <c r="C752" s="2">
        <f t="shared" si="53"/>
        <v>-8.8791689539613342E-4</v>
      </c>
      <c r="D752">
        <v>-0.89634271217126837</v>
      </c>
      <c r="E752" s="15">
        <v>1</v>
      </c>
      <c r="F752">
        <f t="shared" si="56"/>
        <v>3.2473333855813314E-3</v>
      </c>
      <c r="G752">
        <f t="shared" si="54"/>
        <v>307.9449755421345</v>
      </c>
      <c r="H752">
        <f t="shared" si="55"/>
        <v>-4.9769462451038535</v>
      </c>
    </row>
    <row r="753" spans="1:8" x14ac:dyDescent="0.2">
      <c r="A753" s="1">
        <v>41270</v>
      </c>
      <c r="B753">
        <v>351.82686649999999</v>
      </c>
      <c r="C753" s="2">
        <f t="shared" si="53"/>
        <v>-3.639607537863093E-3</v>
      </c>
      <c r="D753">
        <v>3.0990407511497189</v>
      </c>
      <c r="E753" s="15">
        <v>1</v>
      </c>
      <c r="F753">
        <f t="shared" si="56"/>
        <v>12312.458580893628</v>
      </c>
      <c r="G753">
        <f t="shared" si="54"/>
        <v>8.1218547329920909E-5</v>
      </c>
      <c r="H753">
        <f t="shared" si="55"/>
        <v>-2.2981540139360676E+16</v>
      </c>
    </row>
    <row r="754" spans="1:8" x14ac:dyDescent="0.2">
      <c r="A754" s="1">
        <v>41271</v>
      </c>
      <c r="B754">
        <v>348.69859609999997</v>
      </c>
      <c r="C754" s="2">
        <f t="shared" si="53"/>
        <v>-8.8915051630942439E-3</v>
      </c>
      <c r="D754">
        <v>1.4429845994644452</v>
      </c>
      <c r="E754" s="15">
        <v>0</v>
      </c>
      <c r="F754">
        <f t="shared" si="56"/>
        <v>1054.8401583223667</v>
      </c>
      <c r="G754">
        <f t="shared" si="54"/>
        <v>0</v>
      </c>
      <c r="H754" t="e">
        <f t="shared" si="55"/>
        <v>#NUM!</v>
      </c>
    </row>
    <row r="755" spans="1:8" x14ac:dyDescent="0.2">
      <c r="A755" s="1">
        <v>41274</v>
      </c>
      <c r="B755">
        <v>352.36983629999997</v>
      </c>
      <c r="C755" s="2">
        <f t="shared" si="53"/>
        <v>1.0528405451185583E-2</v>
      </c>
      <c r="D755">
        <v>-2.1840970969555955</v>
      </c>
      <c r="E755" s="15">
        <v>1</v>
      </c>
      <c r="F755">
        <f t="shared" si="56"/>
        <v>90.373598006630246</v>
      </c>
      <c r="G755">
        <f t="shared" si="54"/>
        <v>1.1065178570478462E-2</v>
      </c>
      <c r="H755">
        <f t="shared" si="55"/>
        <v>-66706210.034843408</v>
      </c>
    </row>
    <row r="756" spans="1:8" x14ac:dyDescent="0.2">
      <c r="A756" s="1">
        <v>41276</v>
      </c>
      <c r="B756">
        <v>360.275215</v>
      </c>
      <c r="C756" s="2">
        <f t="shared" si="53"/>
        <v>2.2434890520168026E-2</v>
      </c>
      <c r="D756">
        <v>1.1308915793741281</v>
      </c>
      <c r="E756" s="15">
        <v>0</v>
      </c>
      <c r="F756">
        <f t="shared" si="56"/>
        <v>7.7455027836637651</v>
      </c>
      <c r="G756">
        <f t="shared" si="54"/>
        <v>0</v>
      </c>
      <c r="H756" t="e">
        <f t="shared" si="55"/>
        <v>#NUM!</v>
      </c>
    </row>
    <row r="757" spans="1:8" x14ac:dyDescent="0.2">
      <c r="A757" s="1">
        <v>41277</v>
      </c>
      <c r="B757">
        <v>360.48444380000001</v>
      </c>
      <c r="C757" s="2">
        <f t="shared" si="53"/>
        <v>5.8074713799006496E-4</v>
      </c>
      <c r="D757">
        <v>-0.97411410867068871</v>
      </c>
      <c r="E757" s="15">
        <v>1</v>
      </c>
      <c r="F757">
        <f t="shared" si="56"/>
        <v>0.66654427253797921</v>
      </c>
      <c r="G757">
        <f t="shared" si="54"/>
        <v>1.5002754373574199</v>
      </c>
      <c r="H757">
        <f t="shared" si="55"/>
        <v>-0.54972784246757922</v>
      </c>
    </row>
    <row r="758" spans="1:8" x14ac:dyDescent="0.2">
      <c r="A758" s="1">
        <v>41278</v>
      </c>
      <c r="B758">
        <v>367.6077469</v>
      </c>
      <c r="C758" s="2">
        <f t="shared" si="53"/>
        <v>1.9760361986527385E-2</v>
      </c>
      <c r="D758">
        <v>33.025758706133189</v>
      </c>
      <c r="E758" s="15">
        <v>0</v>
      </c>
      <c r="F758">
        <f t="shared" si="56"/>
        <v>0.35231381508305287</v>
      </c>
      <c r="G758">
        <f t="shared" si="54"/>
        <v>0</v>
      </c>
      <c r="H758" t="e">
        <f t="shared" si="55"/>
        <v>#NUM!</v>
      </c>
    </row>
    <row r="759" spans="1:8" x14ac:dyDescent="0.2">
      <c r="A759" s="1">
        <v>41281</v>
      </c>
      <c r="B759">
        <v>366.00377099999997</v>
      </c>
      <c r="C759" s="2">
        <f t="shared" si="53"/>
        <v>-4.3632810067964949E-3</v>
      </c>
      <c r="D759">
        <v>-1.2208097710847292</v>
      </c>
      <c r="E759" s="15">
        <v>0</v>
      </c>
      <c r="F759">
        <f t="shared" si="56"/>
        <v>3.3152442522804478E-2</v>
      </c>
      <c r="G759">
        <f t="shared" si="54"/>
        <v>0</v>
      </c>
      <c r="H759" t="e">
        <f t="shared" si="55"/>
        <v>#NUM!</v>
      </c>
    </row>
    <row r="760" spans="1:8" x14ac:dyDescent="0.2">
      <c r="A760" s="1">
        <v>41282</v>
      </c>
      <c r="B760">
        <v>365.28144900000001</v>
      </c>
      <c r="C760" s="2">
        <f t="shared" si="53"/>
        <v>-1.9735370431469214E-3</v>
      </c>
      <c r="D760">
        <v>-0.54769426033463631</v>
      </c>
      <c r="E760" s="15">
        <v>0</v>
      </c>
      <c r="F760">
        <f t="shared" si="56"/>
        <v>5.8091395590634167E-3</v>
      </c>
      <c r="G760">
        <f t="shared" si="54"/>
        <v>0</v>
      </c>
      <c r="H760" t="e">
        <f t="shared" si="55"/>
        <v>#NUM!</v>
      </c>
    </row>
    <row r="761" spans="1:8" x14ac:dyDescent="0.2">
      <c r="A761" s="1">
        <v>41283</v>
      </c>
      <c r="B761">
        <v>367.68245439999998</v>
      </c>
      <c r="C761" s="2">
        <f t="shared" si="53"/>
        <v>6.5730285689924919E-3</v>
      </c>
      <c r="D761">
        <v>-4.3305828192165112</v>
      </c>
      <c r="E761" s="15">
        <v>0</v>
      </c>
      <c r="F761">
        <f t="shared" si="56"/>
        <v>3.4665746961247009E-3</v>
      </c>
      <c r="G761">
        <f t="shared" si="54"/>
        <v>0</v>
      </c>
      <c r="H761" t="e">
        <f t="shared" si="55"/>
        <v>#NUM!</v>
      </c>
    </row>
    <row r="762" spans="1:8" x14ac:dyDescent="0.2">
      <c r="A762" s="1">
        <v>41284</v>
      </c>
      <c r="B762">
        <v>369.35619380000003</v>
      </c>
      <c r="C762" s="2">
        <f t="shared" si="53"/>
        <v>4.552132906998037E-3</v>
      </c>
      <c r="D762">
        <v>-0.30745274279314688</v>
      </c>
      <c r="E762" s="15">
        <v>0</v>
      </c>
      <c r="F762">
        <f t="shared" si="56"/>
        <v>3.2658816728878227E-3</v>
      </c>
      <c r="G762">
        <f t="shared" si="54"/>
        <v>0</v>
      </c>
      <c r="H762" t="e">
        <f t="shared" si="55"/>
        <v>#NUM!</v>
      </c>
    </row>
    <row r="763" spans="1:8" x14ac:dyDescent="0.2">
      <c r="A763" s="1">
        <v>41285</v>
      </c>
      <c r="B763">
        <v>368.6139743</v>
      </c>
      <c r="C763" s="2">
        <f t="shared" si="53"/>
        <v>-2.0094952039762786E-3</v>
      </c>
      <c r="D763">
        <v>-1.4414403632387496</v>
      </c>
      <c r="E763" s="15">
        <v>1</v>
      </c>
      <c r="F763">
        <f t="shared" si="56"/>
        <v>3.2486878311235312E-3</v>
      </c>
      <c r="G763">
        <f t="shared" si="54"/>
        <v>307.81658687537191</v>
      </c>
      <c r="H763">
        <f t="shared" si="55"/>
        <v>-4.9765840367836436</v>
      </c>
    </row>
    <row r="764" spans="1:8" x14ac:dyDescent="0.2">
      <c r="A764" s="1">
        <v>41288</v>
      </c>
      <c r="B764">
        <v>360.275215</v>
      </c>
      <c r="C764" s="2">
        <f t="shared" si="53"/>
        <v>-2.2621929393304589E-2</v>
      </c>
      <c r="D764">
        <v>10.257518479537328</v>
      </c>
      <c r="E764" s="15">
        <v>0</v>
      </c>
      <c r="F764">
        <f t="shared" si="56"/>
        <v>12302.194083645354</v>
      </c>
      <c r="G764">
        <f t="shared" si="54"/>
        <v>0</v>
      </c>
      <c r="H764" t="e">
        <f t="shared" si="55"/>
        <v>#NUM!</v>
      </c>
    </row>
    <row r="765" spans="1:8" x14ac:dyDescent="0.2">
      <c r="A765" s="1">
        <v>41289</v>
      </c>
      <c r="B765">
        <v>361.11209969999999</v>
      </c>
      <c r="C765" s="2">
        <f t="shared" si="53"/>
        <v>2.3229038944574208E-3</v>
      </c>
      <c r="D765">
        <v>-1.1026837213604306</v>
      </c>
      <c r="E765" s="15">
        <v>0</v>
      </c>
      <c r="F765">
        <f t="shared" si="56"/>
        <v>1053.9607747802675</v>
      </c>
      <c r="G765">
        <f t="shared" si="54"/>
        <v>0</v>
      </c>
      <c r="H765" t="e">
        <f t="shared" si="55"/>
        <v>#NUM!</v>
      </c>
    </row>
    <row r="766" spans="1:8" x14ac:dyDescent="0.2">
      <c r="A766" s="1">
        <v>41290</v>
      </c>
      <c r="B766">
        <v>356.2602546</v>
      </c>
      <c r="C766" s="2">
        <f t="shared" si="53"/>
        <v>-1.3435841956087165E-2</v>
      </c>
      <c r="D766">
        <v>-6.7840713893268845</v>
      </c>
      <c r="E766" s="15">
        <v>0</v>
      </c>
      <c r="F766">
        <f t="shared" si="56"/>
        <v>90.298259157132065</v>
      </c>
      <c r="G766">
        <f t="shared" si="54"/>
        <v>0</v>
      </c>
      <c r="H766" t="e">
        <f t="shared" si="55"/>
        <v>#NUM!</v>
      </c>
    </row>
    <row r="767" spans="1:8" x14ac:dyDescent="0.2">
      <c r="A767" s="1">
        <v>41291</v>
      </c>
      <c r="B767">
        <v>354.33248639999999</v>
      </c>
      <c r="C767" s="2">
        <f t="shared" si="53"/>
        <v>-5.4111233995620756E-3</v>
      </c>
      <c r="D767">
        <v>-0.59726205345020877</v>
      </c>
      <c r="E767" s="15">
        <v>1</v>
      </c>
      <c r="F767">
        <f t="shared" si="56"/>
        <v>7.7390324308145368</v>
      </c>
      <c r="G767">
        <f t="shared" si="54"/>
        <v>0.12921511945321432</v>
      </c>
      <c r="H767">
        <f t="shared" si="55"/>
        <v>-3585.3489123183085</v>
      </c>
    </row>
    <row r="768" spans="1:8" x14ac:dyDescent="0.2">
      <c r="A768" s="1">
        <v>41292</v>
      </c>
      <c r="B768">
        <v>350.94020740000002</v>
      </c>
      <c r="C768" s="2">
        <f t="shared" si="53"/>
        <v>-9.5737171447793437E-3</v>
      </c>
      <c r="D768">
        <v>0.7692660909477963</v>
      </c>
      <c r="E768" s="15">
        <v>0</v>
      </c>
      <c r="F768">
        <f t="shared" si="56"/>
        <v>0.66815777158145839</v>
      </c>
      <c r="G768">
        <f t="shared" si="54"/>
        <v>0</v>
      </c>
      <c r="H768" t="e">
        <f t="shared" si="55"/>
        <v>#NUM!</v>
      </c>
    </row>
    <row r="769" spans="1:8" x14ac:dyDescent="0.2">
      <c r="A769" s="1">
        <v>41296</v>
      </c>
      <c r="B769">
        <v>350.12325060000001</v>
      </c>
      <c r="C769" s="2">
        <f t="shared" si="53"/>
        <v>-2.3279088083197333E-3</v>
      </c>
      <c r="D769">
        <v>-0.75684378668016439</v>
      </c>
      <c r="E769" s="15">
        <v>0</v>
      </c>
      <c r="F769">
        <f t="shared" si="56"/>
        <v>6.0211534675857208E-2</v>
      </c>
      <c r="G769">
        <f t="shared" si="54"/>
        <v>0</v>
      </c>
      <c r="H769" t="e">
        <f t="shared" si="55"/>
        <v>#NUM!</v>
      </c>
    </row>
    <row r="770" spans="1:8" x14ac:dyDescent="0.2">
      <c r="A770" s="1">
        <v>41297</v>
      </c>
      <c r="B770">
        <v>369.36617289999998</v>
      </c>
      <c r="C770" s="2">
        <f t="shared" si="53"/>
        <v>5.4960423985050182E-2</v>
      </c>
      <c r="D770">
        <v>-24.609354365010628</v>
      </c>
      <c r="E770" s="15">
        <v>0</v>
      </c>
      <c r="F770">
        <f t="shared" si="56"/>
        <v>8.1273554156048918E-3</v>
      </c>
      <c r="G770">
        <f t="shared" si="54"/>
        <v>0</v>
      </c>
      <c r="H770" t="e">
        <f t="shared" si="55"/>
        <v>#NUM!</v>
      </c>
    </row>
    <row r="771" spans="1:8" x14ac:dyDescent="0.2">
      <c r="A771" s="1">
        <v>41298</v>
      </c>
      <c r="B771">
        <v>375.69745219999999</v>
      </c>
      <c r="C771" s="2">
        <f t="shared" si="53"/>
        <v>1.7140928879034352E-2</v>
      </c>
      <c r="D771">
        <v>-0.6881223317400742</v>
      </c>
      <c r="E771" s="15">
        <v>0</v>
      </c>
      <c r="F771">
        <f t="shared" si="56"/>
        <v>3.6651816829047076E-3</v>
      </c>
      <c r="G771">
        <f t="shared" si="54"/>
        <v>0</v>
      </c>
      <c r="H771" t="e">
        <f t="shared" si="55"/>
        <v>#NUM!</v>
      </c>
    </row>
    <row r="772" spans="1:8" x14ac:dyDescent="0.2">
      <c r="A772" s="1">
        <v>41299</v>
      </c>
      <c r="B772">
        <v>375.42843900000003</v>
      </c>
      <c r="C772" s="2">
        <f t="shared" ref="C772:C835" si="57">(B772-B771)/B771</f>
        <v>-7.1603679616318884E-4</v>
      </c>
      <c r="D772">
        <v>-1.0417735118800358</v>
      </c>
      <c r="E772" s="15">
        <v>1</v>
      </c>
      <c r="F772">
        <f t="shared" si="56"/>
        <v>3.2828967990187782E-3</v>
      </c>
      <c r="G772">
        <f t="shared" si="54"/>
        <v>304.60902709426898</v>
      </c>
      <c r="H772">
        <f t="shared" si="55"/>
        <v>-4.9674855391479609</v>
      </c>
    </row>
    <row r="773" spans="1:8" x14ac:dyDescent="0.2">
      <c r="A773" s="1">
        <v>41302</v>
      </c>
      <c r="B773">
        <v>373.96392839999999</v>
      </c>
      <c r="C773" s="2">
        <f t="shared" si="57"/>
        <v>-3.9009048006617302E-3</v>
      </c>
      <c r="D773">
        <v>4.4479110872015744</v>
      </c>
      <c r="E773" s="15">
        <v>0</v>
      </c>
      <c r="F773">
        <f t="shared" si="56"/>
        <v>12047.143381425789</v>
      </c>
      <c r="G773">
        <f t="shared" si="54"/>
        <v>0</v>
      </c>
      <c r="H773" t="e">
        <f t="shared" si="55"/>
        <v>#NUM!</v>
      </c>
    </row>
    <row r="774" spans="1:8" x14ac:dyDescent="0.2">
      <c r="A774" s="1">
        <v>41303</v>
      </c>
      <c r="B774">
        <v>375.43344430000002</v>
      </c>
      <c r="C774" s="2">
        <f t="shared" si="57"/>
        <v>3.9295658976718382E-3</v>
      </c>
      <c r="D774">
        <v>-2.0073472946597533</v>
      </c>
      <c r="E774" s="15">
        <v>0</v>
      </c>
      <c r="F774">
        <f t="shared" si="56"/>
        <v>1032.1099832325278</v>
      </c>
      <c r="G774">
        <f t="shared" si="54"/>
        <v>0</v>
      </c>
      <c r="H774" t="e">
        <f t="shared" si="55"/>
        <v>#NUM!</v>
      </c>
    </row>
    <row r="775" spans="1:8" x14ac:dyDescent="0.2">
      <c r="A775" s="1">
        <v>41304</v>
      </c>
      <c r="B775">
        <v>375.50815130000001</v>
      </c>
      <c r="C775" s="2">
        <f t="shared" si="57"/>
        <v>1.9898866532597139E-4</v>
      </c>
      <c r="D775">
        <v>-0.9493611583295074</v>
      </c>
      <c r="E775" s="15">
        <v>1</v>
      </c>
      <c r="F775">
        <f t="shared" si="56"/>
        <v>88.426250622720175</v>
      </c>
      <c r="G775">
        <f t="shared" si="54"/>
        <v>1.1308858997839955E-2</v>
      </c>
      <c r="H775">
        <f t="shared" si="55"/>
        <v>-61139912.883326873</v>
      </c>
    </row>
    <row r="776" spans="1:8" x14ac:dyDescent="0.2">
      <c r="A776" s="1">
        <v>41305</v>
      </c>
      <c r="B776">
        <v>376.43466649999999</v>
      </c>
      <c r="C776" s="2">
        <f t="shared" si="57"/>
        <v>2.4673637490755132E-3</v>
      </c>
      <c r="D776">
        <v>11.399519063227167</v>
      </c>
      <c r="E776" s="15">
        <v>1</v>
      </c>
      <c r="F776">
        <f t="shared" si="56"/>
        <v>7.5786696762083023</v>
      </c>
      <c r="G776">
        <f t="shared" ref="G776:G839" si="58">E776/F776</f>
        <v>0.13194927905873735</v>
      </c>
      <c r="H776">
        <f t="shared" ref="H776:H839" si="59">-LOG(G776^2)-(F776^2)/(G776^2)</f>
        <v>-3297.1617971624314</v>
      </c>
    </row>
    <row r="777" spans="1:8" x14ac:dyDescent="0.2">
      <c r="A777" s="1">
        <v>41306</v>
      </c>
      <c r="B777">
        <v>386.35253039999998</v>
      </c>
      <c r="C777" s="2">
        <f t="shared" si="57"/>
        <v>2.6346839923681649E-2</v>
      </c>
      <c r="D777">
        <v>9.6781336694086733</v>
      </c>
      <c r="E777" s="15">
        <v>0</v>
      </c>
      <c r="F777">
        <f t="shared" ref="F777:F840" si="60" xml:space="preserve"> $K$5 + $K$6 * G776 ^ 2 + $K$7 * F776</f>
        <v>0.65451183053900164</v>
      </c>
      <c r="G777">
        <f t="shared" si="58"/>
        <v>0</v>
      </c>
      <c r="H777" t="e">
        <f t="shared" si="59"/>
        <v>#NUM!</v>
      </c>
    </row>
    <row r="778" spans="1:8" x14ac:dyDescent="0.2">
      <c r="A778" s="1">
        <v>41309</v>
      </c>
      <c r="B778">
        <v>378.09345239999999</v>
      </c>
      <c r="C778" s="2">
        <f t="shared" si="57"/>
        <v>-2.1377051656550995E-2</v>
      </c>
      <c r="D778">
        <v>-1.8113706128884322</v>
      </c>
      <c r="E778" s="15">
        <v>0</v>
      </c>
      <c r="F778">
        <f t="shared" si="60"/>
        <v>5.904245491800271E-2</v>
      </c>
      <c r="G778">
        <f t="shared" si="58"/>
        <v>0</v>
      </c>
      <c r="H778" t="e">
        <f t="shared" si="59"/>
        <v>#NUM!</v>
      </c>
    </row>
    <row r="779" spans="1:8" x14ac:dyDescent="0.2">
      <c r="A779" s="1">
        <v>41310</v>
      </c>
      <c r="B779">
        <v>381.44093120000002</v>
      </c>
      <c r="C779" s="2">
        <f t="shared" si="57"/>
        <v>8.8535751644241729E-3</v>
      </c>
      <c r="D779">
        <v>-1.4141625939193068</v>
      </c>
      <c r="E779" s="15">
        <v>0</v>
      </c>
      <c r="F779">
        <f t="shared" si="60"/>
        <v>8.0271976121985347E-3</v>
      </c>
      <c r="G779">
        <f t="shared" si="58"/>
        <v>0</v>
      </c>
      <c r="H779" t="e">
        <f t="shared" si="59"/>
        <v>#NUM!</v>
      </c>
    </row>
    <row r="780" spans="1:8" x14ac:dyDescent="0.2">
      <c r="A780" s="1">
        <v>41311</v>
      </c>
      <c r="B780">
        <v>383.64766090000001</v>
      </c>
      <c r="C780" s="2">
        <f t="shared" si="57"/>
        <v>5.7852462059005752E-3</v>
      </c>
      <c r="D780">
        <v>-0.3465638345572411</v>
      </c>
      <c r="E780" s="15">
        <v>0</v>
      </c>
      <c r="F780">
        <f t="shared" si="60"/>
        <v>3.6566009290974599E-3</v>
      </c>
      <c r="G780">
        <f t="shared" si="58"/>
        <v>0</v>
      </c>
      <c r="H780" t="e">
        <f t="shared" si="59"/>
        <v>#NUM!</v>
      </c>
    </row>
    <row r="781" spans="1:8" x14ac:dyDescent="0.2">
      <c r="A781" s="1">
        <v>41312</v>
      </c>
      <c r="B781">
        <v>385.53059869999998</v>
      </c>
      <c r="C781" s="2">
        <f t="shared" si="57"/>
        <v>4.9079871765223089E-3</v>
      </c>
      <c r="D781">
        <v>-0.15163728528675566</v>
      </c>
      <c r="E781" s="15">
        <v>1</v>
      </c>
      <c r="F781">
        <f t="shared" si="60"/>
        <v>3.2821616657251508E-3</v>
      </c>
      <c r="G781">
        <f t="shared" si="58"/>
        <v>304.6772529344812</v>
      </c>
      <c r="H781">
        <f t="shared" si="59"/>
        <v>-4.9676800625239608</v>
      </c>
    </row>
    <row r="782" spans="1:8" x14ac:dyDescent="0.2">
      <c r="A782" s="1">
        <v>41313</v>
      </c>
      <c r="B782">
        <v>391.21929849999998</v>
      </c>
      <c r="C782" s="2">
        <f t="shared" si="57"/>
        <v>1.4755507913463044E-2</v>
      </c>
      <c r="D782">
        <v>2.0064275603748563</v>
      </c>
      <c r="E782" s="15">
        <v>0</v>
      </c>
      <c r="F782">
        <f t="shared" si="60"/>
        <v>12052.540583883778</v>
      </c>
      <c r="G782">
        <f t="shared" si="58"/>
        <v>0</v>
      </c>
      <c r="H782" t="e">
        <f t="shared" si="59"/>
        <v>#NUM!</v>
      </c>
    </row>
    <row r="783" spans="1:8" x14ac:dyDescent="0.2">
      <c r="A783" s="1">
        <v>41316</v>
      </c>
      <c r="B783">
        <v>389.7497831</v>
      </c>
      <c r="C783" s="2">
        <f t="shared" si="57"/>
        <v>-3.7562446577516615E-3</v>
      </c>
      <c r="D783">
        <v>-1.2545655954224681</v>
      </c>
      <c r="E783" s="15">
        <v>0</v>
      </c>
      <c r="F783">
        <f t="shared" si="60"/>
        <v>1032.5723742191988</v>
      </c>
      <c r="G783">
        <f t="shared" si="58"/>
        <v>0</v>
      </c>
      <c r="H783" t="e">
        <f t="shared" si="59"/>
        <v>#NUM!</v>
      </c>
    </row>
    <row r="784" spans="1:8" x14ac:dyDescent="0.2">
      <c r="A784" s="1">
        <v>41317</v>
      </c>
      <c r="B784">
        <v>388.89300109999999</v>
      </c>
      <c r="C784" s="2">
        <f t="shared" si="57"/>
        <v>-2.1982873041912149E-3</v>
      </c>
      <c r="D784">
        <v>-0.41476461080492499</v>
      </c>
      <c r="E784" s="15">
        <v>0</v>
      </c>
      <c r="F784">
        <f t="shared" si="60"/>
        <v>88.465864742482935</v>
      </c>
      <c r="G784">
        <f t="shared" si="58"/>
        <v>0</v>
      </c>
      <c r="H784" t="e">
        <f t="shared" si="59"/>
        <v>#NUM!</v>
      </c>
    </row>
    <row r="785" spans="1:8" x14ac:dyDescent="0.2">
      <c r="A785" s="1">
        <v>41318</v>
      </c>
      <c r="B785">
        <v>389.9689611</v>
      </c>
      <c r="C785" s="2">
        <f t="shared" si="57"/>
        <v>2.7667250296524023E-3</v>
      </c>
      <c r="D785">
        <v>-2.2585820899649534</v>
      </c>
      <c r="E785" s="15">
        <v>1</v>
      </c>
      <c r="F785">
        <f t="shared" si="60"/>
        <v>7.5820469058216595</v>
      </c>
      <c r="G785">
        <f t="shared" si="58"/>
        <v>0.13189050561427923</v>
      </c>
      <c r="H785">
        <f t="shared" si="59"/>
        <v>-3303.0456423776491</v>
      </c>
    </row>
    <row r="786" spans="1:8" x14ac:dyDescent="0.2">
      <c r="A786" s="1">
        <v>41319</v>
      </c>
      <c r="B786">
        <v>392.4397295</v>
      </c>
      <c r="C786" s="2">
        <f t="shared" si="57"/>
        <v>6.3358078371945513E-3</v>
      </c>
      <c r="D786">
        <v>1.2900027177585303</v>
      </c>
      <c r="E786" s="15">
        <v>1</v>
      </c>
      <c r="F786">
        <f t="shared" si="60"/>
        <v>0.65479915236421382</v>
      </c>
      <c r="G786">
        <f t="shared" si="58"/>
        <v>1.5271858498738218</v>
      </c>
      <c r="H786">
        <f t="shared" si="59"/>
        <v>-0.55162057546881027</v>
      </c>
    </row>
    <row r="787" spans="1:8" x14ac:dyDescent="0.2">
      <c r="A787" s="1">
        <v>41320</v>
      </c>
      <c r="B787">
        <v>394.96524629999999</v>
      </c>
      <c r="C787" s="2">
        <f t="shared" si="57"/>
        <v>6.4354259014949991E-3</v>
      </c>
      <c r="D787">
        <v>1.5723024886524654E-2</v>
      </c>
      <c r="E787" s="15">
        <v>1</v>
      </c>
      <c r="F787">
        <f t="shared" si="60"/>
        <v>0.361885432434982</v>
      </c>
      <c r="G787">
        <f t="shared" si="58"/>
        <v>2.7633054839245692</v>
      </c>
      <c r="H787">
        <f t="shared" si="59"/>
        <v>-0.90000859867174077</v>
      </c>
    </row>
    <row r="788" spans="1:8" x14ac:dyDescent="0.2">
      <c r="A788" s="1">
        <v>41324</v>
      </c>
      <c r="B788">
        <v>401.91920709999999</v>
      </c>
      <c r="C788" s="2">
        <f t="shared" si="57"/>
        <v>1.7606513142976763E-2</v>
      </c>
      <c r="D788">
        <v>1.7358738042320765</v>
      </c>
      <c r="E788" s="15">
        <v>0</v>
      </c>
      <c r="F788">
        <f t="shared" si="60"/>
        <v>1.0253891441528773</v>
      </c>
      <c r="G788">
        <f t="shared" si="58"/>
        <v>0</v>
      </c>
      <c r="H788" t="e">
        <f t="shared" si="59"/>
        <v>#NUM!</v>
      </c>
    </row>
    <row r="789" spans="1:8" x14ac:dyDescent="0.2">
      <c r="A789" s="1">
        <v>41325</v>
      </c>
      <c r="B789">
        <v>394.75104320000003</v>
      </c>
      <c r="C789" s="2">
        <f t="shared" si="57"/>
        <v>-1.7834837881277179E-2</v>
      </c>
      <c r="D789">
        <v>-2.0129681974191178</v>
      </c>
      <c r="E789" s="15">
        <v>0</v>
      </c>
      <c r="F789">
        <f t="shared" si="60"/>
        <v>9.081638378406022E-2</v>
      </c>
      <c r="G789">
        <f t="shared" si="58"/>
        <v>0</v>
      </c>
      <c r="H789" t="e">
        <f t="shared" si="59"/>
        <v>#NUM!</v>
      </c>
    </row>
    <row r="790" spans="1:8" x14ac:dyDescent="0.2">
      <c r="A790" s="1">
        <v>41326</v>
      </c>
      <c r="B790">
        <v>396.2803121</v>
      </c>
      <c r="C790" s="2">
        <f t="shared" si="57"/>
        <v>3.8740085082566203E-3</v>
      </c>
      <c r="D790">
        <v>-1.2172157960753607</v>
      </c>
      <c r="E790" s="15">
        <v>1</v>
      </c>
      <c r="F790">
        <f t="shared" si="60"/>
        <v>1.0749344582439939E-2</v>
      </c>
      <c r="G790">
        <f t="shared" si="58"/>
        <v>93.028927701656684</v>
      </c>
      <c r="H790">
        <f t="shared" si="59"/>
        <v>-3.93723604352861</v>
      </c>
    </row>
    <row r="791" spans="1:8" x14ac:dyDescent="0.2">
      <c r="A791" s="1">
        <v>41327</v>
      </c>
      <c r="B791">
        <v>398.36252990000003</v>
      </c>
      <c r="C791" s="2">
        <f t="shared" si="57"/>
        <v>5.2544063795795714E-3</v>
      </c>
      <c r="D791">
        <v>0.35632288064957224</v>
      </c>
      <c r="E791" s="15">
        <v>0</v>
      </c>
      <c r="F791">
        <f t="shared" si="60"/>
        <v>1123.662679074178</v>
      </c>
      <c r="G791">
        <f t="shared" si="58"/>
        <v>0</v>
      </c>
      <c r="H791" t="e">
        <f t="shared" si="59"/>
        <v>#NUM!</v>
      </c>
    </row>
    <row r="792" spans="1:8" x14ac:dyDescent="0.2">
      <c r="A792" s="1">
        <v>41330</v>
      </c>
      <c r="B792">
        <v>393.90921409999999</v>
      </c>
      <c r="C792" s="2">
        <f t="shared" si="57"/>
        <v>-1.117905291222532E-2</v>
      </c>
      <c r="D792">
        <v>-3.1275577305308855</v>
      </c>
      <c r="E792" s="15">
        <v>0</v>
      </c>
      <c r="F792">
        <f t="shared" si="60"/>
        <v>96.269784692849285</v>
      </c>
      <c r="G792">
        <f t="shared" si="58"/>
        <v>0</v>
      </c>
      <c r="H792" t="e">
        <f t="shared" si="59"/>
        <v>#NUM!</v>
      </c>
    </row>
    <row r="793" spans="1:8" x14ac:dyDescent="0.2">
      <c r="A793" s="1">
        <v>41331</v>
      </c>
      <c r="B793">
        <v>393.59039660000002</v>
      </c>
      <c r="C793" s="2">
        <f t="shared" si="57"/>
        <v>-8.0936796751098395E-4</v>
      </c>
      <c r="D793">
        <v>-0.92759959418155491</v>
      </c>
      <c r="E793" s="15">
        <v>0</v>
      </c>
      <c r="F793">
        <f t="shared" si="60"/>
        <v>8.2506270218799376</v>
      </c>
      <c r="G793">
        <f t="shared" si="58"/>
        <v>0</v>
      </c>
      <c r="H793" t="e">
        <f t="shared" si="59"/>
        <v>#NUM!</v>
      </c>
    </row>
    <row r="794" spans="1:8" x14ac:dyDescent="0.2">
      <c r="A794" s="1">
        <v>41332</v>
      </c>
      <c r="B794">
        <v>398.39738130000001</v>
      </c>
      <c r="C794" s="2">
        <f t="shared" si="57"/>
        <v>1.2213165619701979E-2</v>
      </c>
      <c r="D794">
        <v>-16.089756587798533</v>
      </c>
      <c r="E794" s="15">
        <v>0</v>
      </c>
      <c r="F794">
        <f t="shared" si="60"/>
        <v>0.70981945013568948</v>
      </c>
      <c r="G794">
        <f t="shared" si="58"/>
        <v>0</v>
      </c>
      <c r="H794" t="e">
        <f t="shared" si="59"/>
        <v>#NUM!</v>
      </c>
    </row>
    <row r="795" spans="1:8" x14ac:dyDescent="0.2">
      <c r="A795" s="1">
        <v>41333</v>
      </c>
      <c r="B795">
        <v>399.1047494</v>
      </c>
      <c r="C795" s="2">
        <f t="shared" si="57"/>
        <v>1.7755340100173407E-3</v>
      </c>
      <c r="D795">
        <v>-0.85462131069826053</v>
      </c>
      <c r="E795" s="15">
        <v>1</v>
      </c>
      <c r="F795">
        <f t="shared" si="60"/>
        <v>6.3780788340698155E-2</v>
      </c>
      <c r="G795">
        <f t="shared" si="58"/>
        <v>15.678702412053847</v>
      </c>
      <c r="H795">
        <f t="shared" si="59"/>
        <v>-2.3906367827560828</v>
      </c>
    </row>
    <row r="796" spans="1:8" x14ac:dyDescent="0.2">
      <c r="A796" s="1">
        <v>41334</v>
      </c>
      <c r="B796">
        <v>401.59044089999998</v>
      </c>
      <c r="C796" s="2">
        <f t="shared" si="57"/>
        <v>6.2281681782461219E-3</v>
      </c>
      <c r="D796">
        <v>2.5077718270151834</v>
      </c>
      <c r="E796" s="15">
        <v>1</v>
      </c>
      <c r="F796">
        <f t="shared" si="60"/>
        <v>31.925182802879771</v>
      </c>
      <c r="G796">
        <f t="shared" si="58"/>
        <v>3.1323234894986923E-2</v>
      </c>
      <c r="H796">
        <f t="shared" si="59"/>
        <v>-1038800.8902316771</v>
      </c>
    </row>
    <row r="797" spans="1:8" x14ac:dyDescent="0.2">
      <c r="A797" s="1">
        <v>41337</v>
      </c>
      <c r="B797">
        <v>409.21685780000001</v>
      </c>
      <c r="C797" s="2">
        <f t="shared" si="57"/>
        <v>1.8990533945251679E-2</v>
      </c>
      <c r="D797">
        <v>2.0491363434247361</v>
      </c>
      <c r="E797" s="15">
        <v>1</v>
      </c>
      <c r="F797">
        <f t="shared" si="60"/>
        <v>2.738201530584734</v>
      </c>
      <c r="G797">
        <f t="shared" si="58"/>
        <v>0.36520321416461016</v>
      </c>
      <c r="H797">
        <f t="shared" si="59"/>
        <v>-55.341288586891018</v>
      </c>
    </row>
    <row r="798" spans="1:8" x14ac:dyDescent="0.2">
      <c r="A798" s="1">
        <v>41338</v>
      </c>
      <c r="B798">
        <v>417.73493889999997</v>
      </c>
      <c r="C798" s="2">
        <f t="shared" si="57"/>
        <v>2.0815567437261037E-2</v>
      </c>
      <c r="D798">
        <v>9.610227375758866E-2</v>
      </c>
      <c r="E798" s="15">
        <v>0</v>
      </c>
      <c r="F798">
        <f t="shared" si="60"/>
        <v>0.25487383466643154</v>
      </c>
      <c r="G798">
        <f t="shared" si="58"/>
        <v>0</v>
      </c>
      <c r="H798" t="e">
        <f t="shared" si="59"/>
        <v>#NUM!</v>
      </c>
    </row>
    <row r="799" spans="1:8" x14ac:dyDescent="0.2">
      <c r="A799" s="1">
        <v>41339</v>
      </c>
      <c r="B799">
        <v>414.1384056</v>
      </c>
      <c r="C799" s="2">
        <f t="shared" si="57"/>
        <v>-8.6096061523379952E-3</v>
      </c>
      <c r="D799">
        <v>-1.4136138098703144</v>
      </c>
      <c r="E799" s="15">
        <v>0</v>
      </c>
      <c r="F799">
        <f t="shared" si="60"/>
        <v>2.4804530982194331E-2</v>
      </c>
      <c r="G799">
        <f t="shared" si="58"/>
        <v>0</v>
      </c>
      <c r="H799" t="e">
        <f t="shared" si="59"/>
        <v>#NUM!</v>
      </c>
    </row>
    <row r="800" spans="1:8" x14ac:dyDescent="0.2">
      <c r="A800" s="1">
        <v>41340</v>
      </c>
      <c r="B800">
        <v>414.74613369999997</v>
      </c>
      <c r="C800" s="2">
        <f t="shared" si="57"/>
        <v>1.4674516822932742E-3</v>
      </c>
      <c r="D800">
        <v>-1.1704435320650268</v>
      </c>
      <c r="E800" s="15">
        <v>0</v>
      </c>
      <c r="F800">
        <f t="shared" si="60"/>
        <v>5.093954408246568E-3</v>
      </c>
      <c r="G800">
        <f t="shared" si="58"/>
        <v>0</v>
      </c>
      <c r="H800" t="e">
        <f t="shared" si="59"/>
        <v>#NUM!</v>
      </c>
    </row>
    <row r="801" spans="1:8" x14ac:dyDescent="0.2">
      <c r="A801" s="1">
        <v>41341</v>
      </c>
      <c r="B801">
        <v>414.20816860000002</v>
      </c>
      <c r="C801" s="2">
        <f t="shared" si="57"/>
        <v>-1.2970949124967125E-3</v>
      </c>
      <c r="D801">
        <v>-1.8839097928387427</v>
      </c>
      <c r="E801" s="15">
        <v>0</v>
      </c>
      <c r="F801">
        <f t="shared" si="60"/>
        <v>3.4053031077207426E-3</v>
      </c>
      <c r="G801">
        <f t="shared" si="58"/>
        <v>0</v>
      </c>
      <c r="H801" t="e">
        <f t="shared" si="59"/>
        <v>#NUM!</v>
      </c>
    </row>
    <row r="802" spans="1:8" x14ac:dyDescent="0.2">
      <c r="A802" s="1">
        <v>41344</v>
      </c>
      <c r="B802">
        <v>415.8520011</v>
      </c>
      <c r="C802" s="2">
        <f t="shared" si="57"/>
        <v>3.968614393955662E-3</v>
      </c>
      <c r="D802">
        <v>-4.0596175774960654</v>
      </c>
      <c r="E802" s="15">
        <v>0</v>
      </c>
      <c r="F802">
        <f t="shared" si="60"/>
        <v>3.2606323922767023E-3</v>
      </c>
      <c r="G802">
        <f t="shared" si="58"/>
        <v>0</v>
      </c>
      <c r="H802" t="e">
        <f t="shared" si="59"/>
        <v>#NUM!</v>
      </c>
    </row>
    <row r="803" spans="1:8" x14ac:dyDescent="0.2">
      <c r="A803" s="1">
        <v>41345</v>
      </c>
      <c r="B803">
        <v>412.2604422</v>
      </c>
      <c r="C803" s="2">
        <f t="shared" si="57"/>
        <v>-8.6366276716228485E-3</v>
      </c>
      <c r="D803">
        <v>-3.1762325119761532</v>
      </c>
      <c r="E803" s="15">
        <v>0</v>
      </c>
      <c r="F803">
        <f t="shared" si="60"/>
        <v>3.2482381129482389E-3</v>
      </c>
      <c r="G803">
        <f t="shared" si="58"/>
        <v>0</v>
      </c>
      <c r="H803" t="e">
        <f t="shared" si="59"/>
        <v>#NUM!</v>
      </c>
    </row>
    <row r="804" spans="1:8" x14ac:dyDescent="0.2">
      <c r="A804" s="1">
        <v>41346</v>
      </c>
      <c r="B804">
        <v>411.11474900000002</v>
      </c>
      <c r="C804" s="2">
        <f t="shared" si="57"/>
        <v>-2.7790519844350528E-3</v>
      </c>
      <c r="D804">
        <v>-0.67822487085253025</v>
      </c>
      <c r="E804" s="15">
        <v>1</v>
      </c>
      <c r="F804">
        <f t="shared" si="60"/>
        <v>3.2471762659835612E-3</v>
      </c>
      <c r="G804">
        <f t="shared" si="58"/>
        <v>307.95987593149727</v>
      </c>
      <c r="H804">
        <f t="shared" si="59"/>
        <v>-4.9769882720946201</v>
      </c>
    </row>
    <row r="805" spans="1:8" x14ac:dyDescent="0.2">
      <c r="A805" s="1">
        <v>41347</v>
      </c>
      <c r="B805">
        <v>409.23678560000002</v>
      </c>
      <c r="C805" s="2">
        <f t="shared" si="57"/>
        <v>-4.5679786594082974E-3</v>
      </c>
      <c r="D805">
        <v>0.64371832012955721</v>
      </c>
      <c r="E805" s="15">
        <v>1</v>
      </c>
      <c r="F805">
        <f t="shared" si="60"/>
        <v>12313.650123730757</v>
      </c>
      <c r="G805">
        <f t="shared" si="58"/>
        <v>8.12106881348536E-5</v>
      </c>
      <c r="H805">
        <f t="shared" si="59"/>
        <v>-2.299043761980688E+16</v>
      </c>
    </row>
    <row r="806" spans="1:8" x14ac:dyDescent="0.2">
      <c r="A806" s="1">
        <v>41348</v>
      </c>
      <c r="B806">
        <v>405.63030350000002</v>
      </c>
      <c r="C806" s="2">
        <f t="shared" si="57"/>
        <v>-8.8127026379419236E-3</v>
      </c>
      <c r="D806">
        <v>0.92923463418357055</v>
      </c>
      <c r="E806" s="15">
        <v>0</v>
      </c>
      <c r="F806">
        <f t="shared" si="60"/>
        <v>1054.9422405904324</v>
      </c>
      <c r="G806">
        <f t="shared" si="58"/>
        <v>0</v>
      </c>
      <c r="H806" t="e">
        <f t="shared" si="59"/>
        <v>#NUM!</v>
      </c>
    </row>
    <row r="807" spans="1:8" x14ac:dyDescent="0.2">
      <c r="A807" s="1">
        <v>41351</v>
      </c>
      <c r="B807">
        <v>402.38743909999999</v>
      </c>
      <c r="C807" s="2">
        <f t="shared" si="57"/>
        <v>-7.9946305096508415E-3</v>
      </c>
      <c r="D807">
        <v>-9.2828745266971907E-2</v>
      </c>
      <c r="E807" s="15">
        <v>0</v>
      </c>
      <c r="F807">
        <f t="shared" si="60"/>
        <v>90.382343633836186</v>
      </c>
      <c r="G807">
        <f t="shared" si="58"/>
        <v>0</v>
      </c>
      <c r="H807" t="e">
        <f t="shared" si="59"/>
        <v>#NUM!</v>
      </c>
    </row>
    <row r="808" spans="1:8" x14ac:dyDescent="0.2">
      <c r="A808" s="1">
        <v>41352</v>
      </c>
      <c r="B808">
        <v>404.14586509999998</v>
      </c>
      <c r="C808" s="2">
        <f t="shared" si="57"/>
        <v>4.3699823332780221E-3</v>
      </c>
      <c r="D808">
        <v>-1.546614671935461</v>
      </c>
      <c r="E808" s="15">
        <v>0</v>
      </c>
      <c r="F808">
        <f t="shared" si="60"/>
        <v>7.7462361450441923</v>
      </c>
      <c r="G808">
        <f t="shared" si="58"/>
        <v>0</v>
      </c>
      <c r="H808" t="e">
        <f t="shared" si="59"/>
        <v>#NUM!</v>
      </c>
    </row>
    <row r="809" spans="1:8" x14ac:dyDescent="0.2">
      <c r="A809" s="1">
        <v>41353</v>
      </c>
      <c r="B809">
        <v>405.8345276</v>
      </c>
      <c r="C809" s="2">
        <f t="shared" si="57"/>
        <v>4.1783490710270805E-3</v>
      </c>
      <c r="D809">
        <v>-4.3852182374200382E-2</v>
      </c>
      <c r="E809" s="15">
        <v>0</v>
      </c>
      <c r="F809">
        <f t="shared" si="60"/>
        <v>0.66660710132658252</v>
      </c>
      <c r="G809">
        <f t="shared" si="58"/>
        <v>0</v>
      </c>
      <c r="H809" t="e">
        <f t="shared" si="59"/>
        <v>#NUM!</v>
      </c>
    </row>
    <row r="810" spans="1:8" x14ac:dyDescent="0.2">
      <c r="A810" s="1">
        <v>41354</v>
      </c>
      <c r="B810">
        <v>404.11595770000002</v>
      </c>
      <c r="C810" s="2">
        <f t="shared" si="57"/>
        <v>-4.2346566965683115E-3</v>
      </c>
      <c r="D810">
        <v>-2.0134760463006001</v>
      </c>
      <c r="E810" s="15">
        <v>0</v>
      </c>
      <c r="F810">
        <f t="shared" si="60"/>
        <v>6.0078685120048478E-2</v>
      </c>
      <c r="G810">
        <f t="shared" si="58"/>
        <v>0</v>
      </c>
      <c r="H810" t="e">
        <f t="shared" si="59"/>
        <v>#NUM!</v>
      </c>
    </row>
    <row r="811" spans="1:8" x14ac:dyDescent="0.2">
      <c r="A811" s="1">
        <v>41355</v>
      </c>
      <c r="B811">
        <v>403.64275140000001</v>
      </c>
      <c r="C811" s="2">
        <f t="shared" si="57"/>
        <v>-1.1709666272355056E-3</v>
      </c>
      <c r="D811">
        <v>-0.72348015172412072</v>
      </c>
      <c r="E811" s="15">
        <v>0</v>
      </c>
      <c r="F811">
        <f t="shared" si="60"/>
        <v>8.115973882733489E-3</v>
      </c>
      <c r="G811">
        <f t="shared" si="58"/>
        <v>0</v>
      </c>
      <c r="H811" t="e">
        <f t="shared" si="59"/>
        <v>#NUM!</v>
      </c>
    </row>
    <row r="812" spans="1:8" x14ac:dyDescent="0.2">
      <c r="A812" s="1">
        <v>41358</v>
      </c>
      <c r="B812">
        <v>403.3089799</v>
      </c>
      <c r="C812" s="2">
        <f t="shared" si="57"/>
        <v>-8.2689828776152691E-4</v>
      </c>
      <c r="D812">
        <v>-0.29383274593083636</v>
      </c>
      <c r="E812" s="15">
        <v>0</v>
      </c>
      <c r="F812">
        <f t="shared" si="60"/>
        <v>3.6642066003030817E-3</v>
      </c>
      <c r="G812">
        <f t="shared" si="58"/>
        <v>0</v>
      </c>
      <c r="H812" t="e">
        <f t="shared" si="59"/>
        <v>#NUM!</v>
      </c>
    </row>
    <row r="813" spans="1:8" x14ac:dyDescent="0.2">
      <c r="A813" s="1">
        <v>41359</v>
      </c>
      <c r="B813">
        <v>404.6938093</v>
      </c>
      <c r="C813" s="2">
        <f t="shared" si="57"/>
        <v>3.4336686486459286E-3</v>
      </c>
      <c r="D813">
        <v>-5.1524679630684886</v>
      </c>
      <c r="E813" s="15">
        <v>0</v>
      </c>
      <c r="F813">
        <f t="shared" si="60"/>
        <v>3.2828132614065131E-3</v>
      </c>
      <c r="G813">
        <f t="shared" si="58"/>
        <v>0</v>
      </c>
      <c r="H813" t="e">
        <f t="shared" si="59"/>
        <v>#NUM!</v>
      </c>
    </row>
    <row r="814" spans="1:8" x14ac:dyDescent="0.2">
      <c r="A814" s="1">
        <v>41360</v>
      </c>
      <c r="B814">
        <v>399.83201489999999</v>
      </c>
      <c r="C814" s="2">
        <f t="shared" si="57"/>
        <v>-1.201351315061989E-2</v>
      </c>
      <c r="D814">
        <v>-4.4987397969683052</v>
      </c>
      <c r="E814" s="15">
        <v>0</v>
      </c>
      <c r="F814">
        <f t="shared" si="60"/>
        <v>3.2501384000028729E-3</v>
      </c>
      <c r="G814">
        <f t="shared" si="58"/>
        <v>0</v>
      </c>
      <c r="H814" t="e">
        <f t="shared" si="59"/>
        <v>#NUM!</v>
      </c>
    </row>
    <row r="815" spans="1:8" x14ac:dyDescent="0.2">
      <c r="A815" s="1">
        <v>41361</v>
      </c>
      <c r="B815">
        <v>395.61283049999997</v>
      </c>
      <c r="C815" s="2">
        <f t="shared" si="57"/>
        <v>-1.0552392611820383E-2</v>
      </c>
      <c r="D815">
        <v>-0.12162308564369563</v>
      </c>
      <c r="E815" s="15">
        <v>0</v>
      </c>
      <c r="F815">
        <f t="shared" si="60"/>
        <v>3.2473390680301754E-3</v>
      </c>
      <c r="G815">
        <f t="shared" si="58"/>
        <v>0</v>
      </c>
      <c r="H815" t="e">
        <f t="shared" si="59"/>
        <v>#NUM!</v>
      </c>
    </row>
    <row r="816" spans="1:8" x14ac:dyDescent="0.2">
      <c r="A816" s="1">
        <v>41365</v>
      </c>
      <c r="B816">
        <v>399.09977509999999</v>
      </c>
      <c r="C816" s="2">
        <f t="shared" si="57"/>
        <v>8.8140331434473414E-3</v>
      </c>
      <c r="D816">
        <v>-1.8352639508099993</v>
      </c>
      <c r="E816" s="15">
        <v>1</v>
      </c>
      <c r="F816">
        <f t="shared" si="60"/>
        <v>3.2470992426978942E-3</v>
      </c>
      <c r="G816">
        <f t="shared" si="58"/>
        <v>307.96718093812774</v>
      </c>
      <c r="H816">
        <f t="shared" si="59"/>
        <v>-4.9770088753399753</v>
      </c>
    </row>
    <row r="817" spans="1:8" x14ac:dyDescent="0.2">
      <c r="A817" s="1">
        <v>41366</v>
      </c>
      <c r="B817">
        <v>405.00264759999999</v>
      </c>
      <c r="C817" s="2">
        <f t="shared" si="57"/>
        <v>1.4790468119208923E-2</v>
      </c>
      <c r="D817">
        <v>0.67805905406705569</v>
      </c>
      <c r="E817" s="15">
        <v>0</v>
      </c>
      <c r="F817">
        <f t="shared" si="60"/>
        <v>12314.234305924247</v>
      </c>
      <c r="G817">
        <f t="shared" si="58"/>
        <v>0</v>
      </c>
      <c r="H817" t="e">
        <f t="shared" si="59"/>
        <v>#NUM!</v>
      </c>
    </row>
    <row r="818" spans="1:8" x14ac:dyDescent="0.2">
      <c r="A818" s="1">
        <v>41367</v>
      </c>
      <c r="B818">
        <v>401.59541530000001</v>
      </c>
      <c r="C818" s="2">
        <f t="shared" si="57"/>
        <v>-8.4128642619766807E-3</v>
      </c>
      <c r="D818">
        <v>-1.5688031098252113</v>
      </c>
      <c r="E818" s="15">
        <v>1</v>
      </c>
      <c r="F818">
        <f t="shared" si="60"/>
        <v>1054.9922888475294</v>
      </c>
      <c r="G818">
        <f t="shared" si="58"/>
        <v>9.4787422673240317E-4</v>
      </c>
      <c r="H818">
        <f t="shared" si="59"/>
        <v>-1238788431998.9272</v>
      </c>
    </row>
    <row r="819" spans="1:8" x14ac:dyDescent="0.2">
      <c r="A819" s="1">
        <v>41368</v>
      </c>
      <c r="B819">
        <v>396.05118590000001</v>
      </c>
      <c r="C819" s="2">
        <f t="shared" si="57"/>
        <v>-1.380550969651472E-2</v>
      </c>
      <c r="D819">
        <v>0.64099993374563102</v>
      </c>
      <c r="E819" s="15">
        <v>1</v>
      </c>
      <c r="F819">
        <f t="shared" si="60"/>
        <v>90.386631501998608</v>
      </c>
      <c r="G819">
        <f t="shared" si="58"/>
        <v>1.1063583003177724E-2</v>
      </c>
      <c r="H819">
        <f t="shared" si="59"/>
        <v>-66744699.294665262</v>
      </c>
    </row>
    <row r="820" spans="1:8" x14ac:dyDescent="0.2">
      <c r="A820" s="1">
        <v>41369</v>
      </c>
      <c r="B820">
        <v>390.06362680000001</v>
      </c>
      <c r="C820" s="2">
        <f t="shared" si="57"/>
        <v>-1.5118144606469663E-2</v>
      </c>
      <c r="D820">
        <v>9.5080510521558304E-2</v>
      </c>
      <c r="E820" s="15">
        <v>0</v>
      </c>
      <c r="F820">
        <f t="shared" si="60"/>
        <v>7.7466193891807533</v>
      </c>
      <c r="G820">
        <f t="shared" si="58"/>
        <v>0</v>
      </c>
      <c r="H820" t="e">
        <f t="shared" si="59"/>
        <v>#NUM!</v>
      </c>
    </row>
    <row r="821" spans="1:8" x14ac:dyDescent="0.2">
      <c r="A821" s="1">
        <v>41372</v>
      </c>
      <c r="B821">
        <v>385.97893319999997</v>
      </c>
      <c r="C821" s="2">
        <f t="shared" si="57"/>
        <v>-1.0471864894222525E-2</v>
      </c>
      <c r="D821">
        <v>-0.30733134476427798</v>
      </c>
      <c r="E821" s="15">
        <v>0</v>
      </c>
      <c r="F821">
        <f t="shared" si="60"/>
        <v>0.6666399347501607</v>
      </c>
      <c r="G821">
        <f t="shared" si="58"/>
        <v>0</v>
      </c>
      <c r="H821" t="e">
        <f t="shared" si="59"/>
        <v>#NUM!</v>
      </c>
    </row>
    <row r="822" spans="1:8" x14ac:dyDescent="0.2">
      <c r="A822" s="1">
        <v>41373</v>
      </c>
      <c r="B822">
        <v>387.37368029999999</v>
      </c>
      <c r="C822" s="2">
        <f t="shared" si="57"/>
        <v>3.613531672406876E-3</v>
      </c>
      <c r="D822">
        <v>-1.3450705016639883</v>
      </c>
      <c r="E822" s="15">
        <v>1</v>
      </c>
      <c r="F822">
        <f t="shared" si="60"/>
        <v>6.0081498036414369E-2</v>
      </c>
      <c r="G822">
        <f t="shared" si="58"/>
        <v>16.644059031183229</v>
      </c>
      <c r="H822">
        <f t="shared" si="59"/>
        <v>-2.4425315254139544</v>
      </c>
    </row>
    <row r="823" spans="1:8" x14ac:dyDescent="0.2">
      <c r="A823" s="1">
        <v>41374</v>
      </c>
      <c r="B823">
        <v>393.61529869999998</v>
      </c>
      <c r="C823" s="2">
        <f t="shared" si="57"/>
        <v>1.6112654827674912E-2</v>
      </c>
      <c r="D823">
        <v>3.45897705856905</v>
      </c>
      <c r="E823" s="15">
        <v>0</v>
      </c>
      <c r="F823">
        <f t="shared" si="60"/>
        <v>35.976168251810591</v>
      </c>
      <c r="G823">
        <f t="shared" si="58"/>
        <v>0</v>
      </c>
      <c r="H823" t="e">
        <f t="shared" si="59"/>
        <v>#NUM!</v>
      </c>
    </row>
    <row r="824" spans="1:8" x14ac:dyDescent="0.2">
      <c r="A824" s="1">
        <v>41375</v>
      </c>
      <c r="B824">
        <v>393.71991359999998</v>
      </c>
      <c r="C824" s="2">
        <f t="shared" si="57"/>
        <v>2.6577955771921169E-4</v>
      </c>
      <c r="D824">
        <v>-0.98350491830416975</v>
      </c>
      <c r="E824" s="15">
        <v>0</v>
      </c>
      <c r="F824">
        <f t="shared" si="60"/>
        <v>3.0851315613799133</v>
      </c>
      <c r="G824">
        <f t="shared" si="58"/>
        <v>0</v>
      </c>
      <c r="H824" t="e">
        <f t="shared" si="59"/>
        <v>#NUM!</v>
      </c>
    </row>
    <row r="825" spans="1:8" x14ac:dyDescent="0.2">
      <c r="A825" s="1">
        <v>41376</v>
      </c>
      <c r="B825">
        <v>393.55054050000001</v>
      </c>
      <c r="C825" s="2">
        <f t="shared" si="57"/>
        <v>-4.3018677529236605E-4</v>
      </c>
      <c r="D825">
        <v>-2.6185848866030765</v>
      </c>
      <c r="E825" s="15">
        <v>1</v>
      </c>
      <c r="F825">
        <f t="shared" si="60"/>
        <v>0.26727934510584606</v>
      </c>
      <c r="G825">
        <f t="shared" si="58"/>
        <v>3.7414039592321928</v>
      </c>
      <c r="H825">
        <f t="shared" si="59"/>
        <v>-1.1511726262974638</v>
      </c>
    </row>
    <row r="826" spans="1:8" x14ac:dyDescent="0.2">
      <c r="A826" s="1">
        <v>41379</v>
      </c>
      <c r="B826">
        <v>389.50570349999998</v>
      </c>
      <c r="C826" s="2">
        <f t="shared" si="57"/>
        <v>-1.0277808270473025E-2</v>
      </c>
      <c r="D826">
        <v>22.891502158540231</v>
      </c>
      <c r="E826" s="15">
        <v>0</v>
      </c>
      <c r="F826">
        <f t="shared" si="60"/>
        <v>1.8433389097426682</v>
      </c>
      <c r="G826">
        <f t="shared" si="58"/>
        <v>0</v>
      </c>
      <c r="H826" t="e">
        <f t="shared" si="59"/>
        <v>#NUM!</v>
      </c>
    </row>
    <row r="827" spans="1:8" x14ac:dyDescent="0.2">
      <c r="A827" s="1">
        <v>41380</v>
      </c>
      <c r="B827">
        <v>395.20435209999999</v>
      </c>
      <c r="C827" s="2">
        <f t="shared" si="57"/>
        <v>1.4630462529286205E-2</v>
      </c>
      <c r="D827">
        <v>-2.4235002389875144</v>
      </c>
      <c r="E827" s="15">
        <v>0</v>
      </c>
      <c r="F827">
        <f t="shared" si="60"/>
        <v>0.16089205763591613</v>
      </c>
      <c r="G827">
        <f t="shared" si="58"/>
        <v>0</v>
      </c>
      <c r="H827" t="e">
        <f t="shared" si="59"/>
        <v>#NUM!</v>
      </c>
    </row>
    <row r="828" spans="1:8" x14ac:dyDescent="0.2">
      <c r="A828" s="1">
        <v>41381</v>
      </c>
      <c r="B828">
        <v>389.81954660000002</v>
      </c>
      <c r="C828" s="2">
        <f t="shared" si="57"/>
        <v>-1.3625369941871069E-2</v>
      </c>
      <c r="D828">
        <v>-1.9313013798843874</v>
      </c>
      <c r="E828" s="15">
        <v>1</v>
      </c>
      <c r="F828">
        <f t="shared" si="60"/>
        <v>1.6752891832375078E-2</v>
      </c>
      <c r="G828">
        <f t="shared" si="58"/>
        <v>59.691187050315285</v>
      </c>
      <c r="H828">
        <f t="shared" si="59"/>
        <v>-3.5518205099413986</v>
      </c>
    </row>
    <row r="829" spans="1:8" x14ac:dyDescent="0.2">
      <c r="A829" s="1">
        <v>41382</v>
      </c>
      <c r="B829">
        <v>381.52561780000002</v>
      </c>
      <c r="C829" s="2">
        <f t="shared" si="57"/>
        <v>-2.1276328681666994E-2</v>
      </c>
      <c r="D829">
        <v>0.56152300982921255</v>
      </c>
      <c r="E829" s="15">
        <v>0</v>
      </c>
      <c r="F829">
        <f t="shared" si="60"/>
        <v>462.61849211785051</v>
      </c>
      <c r="G829">
        <f t="shared" si="58"/>
        <v>0</v>
      </c>
      <c r="H829" t="e">
        <f t="shared" si="59"/>
        <v>#NUM!</v>
      </c>
    </row>
    <row r="830" spans="1:8" x14ac:dyDescent="0.2">
      <c r="A830" s="1">
        <v>41383</v>
      </c>
      <c r="B830">
        <v>398.4422118</v>
      </c>
      <c r="C830" s="2">
        <f t="shared" si="57"/>
        <v>4.4339339773686814E-2</v>
      </c>
      <c r="D830">
        <v>-3.0839751273391607</v>
      </c>
      <c r="E830" s="15">
        <v>0</v>
      </c>
      <c r="F830">
        <f t="shared" si="60"/>
        <v>39.636579579800426</v>
      </c>
      <c r="G830">
        <f t="shared" si="58"/>
        <v>0</v>
      </c>
      <c r="H830" t="e">
        <f t="shared" si="59"/>
        <v>#NUM!</v>
      </c>
    </row>
    <row r="831" spans="1:8" x14ac:dyDescent="0.2">
      <c r="A831" s="1">
        <v>41386</v>
      </c>
      <c r="B831">
        <v>398.56177960000002</v>
      </c>
      <c r="C831" s="2">
        <f t="shared" si="57"/>
        <v>3.0008818458232214E-4</v>
      </c>
      <c r="D831">
        <v>-0.99323201053254273</v>
      </c>
      <c r="E831" s="15">
        <v>1</v>
      </c>
      <c r="F831">
        <f t="shared" si="60"/>
        <v>3.3987275805668595</v>
      </c>
      <c r="G831">
        <f t="shared" si="58"/>
        <v>0.29422775915250443</v>
      </c>
      <c r="H831">
        <f t="shared" si="59"/>
        <v>-132.37103486414389</v>
      </c>
    </row>
    <row r="832" spans="1:8" x14ac:dyDescent="0.2">
      <c r="A832" s="1">
        <v>41387</v>
      </c>
      <c r="B832">
        <v>402.44224919999999</v>
      </c>
      <c r="C832" s="2">
        <f t="shared" si="57"/>
        <v>9.7361809350972935E-3</v>
      </c>
      <c r="D832">
        <v>31.444399464272813</v>
      </c>
      <c r="E832" s="15">
        <v>0</v>
      </c>
      <c r="F832">
        <f t="shared" si="60"/>
        <v>0.30538583567505578</v>
      </c>
      <c r="G832">
        <f t="shared" si="58"/>
        <v>0</v>
      </c>
      <c r="H832" t="e">
        <f t="shared" si="59"/>
        <v>#NUM!</v>
      </c>
    </row>
    <row r="833" spans="1:8" x14ac:dyDescent="0.2">
      <c r="A833" s="1">
        <v>41388</v>
      </c>
      <c r="B833">
        <v>405.20687170000002</v>
      </c>
      <c r="C833" s="2">
        <f t="shared" si="57"/>
        <v>6.8696129829701538E-3</v>
      </c>
      <c r="D833">
        <v>-0.29442426873905403</v>
      </c>
      <c r="E833" s="15">
        <v>0</v>
      </c>
      <c r="F833">
        <f t="shared" si="60"/>
        <v>2.913201251858509E-2</v>
      </c>
      <c r="G833">
        <f t="shared" si="58"/>
        <v>0</v>
      </c>
      <c r="H833" t="e">
        <f t="shared" si="59"/>
        <v>#NUM!</v>
      </c>
    </row>
    <row r="834" spans="1:8" x14ac:dyDescent="0.2">
      <c r="A834" s="1">
        <v>41389</v>
      </c>
      <c r="B834">
        <v>403.03999759999999</v>
      </c>
      <c r="C834" s="2">
        <f t="shared" si="57"/>
        <v>-5.3475749088586584E-3</v>
      </c>
      <c r="D834">
        <v>-1.7784390361022311</v>
      </c>
      <c r="E834" s="15">
        <v>1</v>
      </c>
      <c r="F834">
        <f t="shared" si="60"/>
        <v>5.4646998959298919E-3</v>
      </c>
      <c r="G834">
        <f t="shared" si="58"/>
        <v>182.99266547917844</v>
      </c>
      <c r="H834">
        <f t="shared" si="59"/>
        <v>-4.5248673671750028</v>
      </c>
    </row>
    <row r="835" spans="1:8" x14ac:dyDescent="0.2">
      <c r="A835" s="1">
        <v>41390</v>
      </c>
      <c r="B835">
        <v>399.21433819999999</v>
      </c>
      <c r="C835" s="2">
        <f t="shared" si="57"/>
        <v>-9.4920092863756168E-3</v>
      </c>
      <c r="D835">
        <v>0.77501193497100762</v>
      </c>
      <c r="E835" s="15">
        <v>0</v>
      </c>
      <c r="F835">
        <f t="shared" si="60"/>
        <v>4347.7657059982903</v>
      </c>
      <c r="G835">
        <f t="shared" si="58"/>
        <v>0</v>
      </c>
      <c r="H835" t="e">
        <f t="shared" si="59"/>
        <v>#NUM!</v>
      </c>
    </row>
    <row r="836" spans="1:8" x14ac:dyDescent="0.2">
      <c r="A836" s="1">
        <v>41393</v>
      </c>
      <c r="B836">
        <v>408.00140160000001</v>
      </c>
      <c r="C836" s="2">
        <f t="shared" ref="C836:C899" si="61">(B836-B835)/B835</f>
        <v>2.2010891291178634E-2</v>
      </c>
      <c r="D836">
        <v>-3.3188864050914941</v>
      </c>
      <c r="E836" s="15">
        <v>0</v>
      </c>
      <c r="F836">
        <f t="shared" si="60"/>
        <v>372.48624893574259</v>
      </c>
      <c r="G836">
        <f t="shared" si="58"/>
        <v>0</v>
      </c>
      <c r="H836" t="e">
        <f t="shared" si="59"/>
        <v>#NUM!</v>
      </c>
    </row>
    <row r="837" spans="1:8" x14ac:dyDescent="0.2">
      <c r="A837" s="1">
        <v>41394</v>
      </c>
      <c r="B837">
        <v>410.74612669999999</v>
      </c>
      <c r="C837" s="2">
        <f t="shared" si="61"/>
        <v>6.7272442918979974E-3</v>
      </c>
      <c r="D837">
        <v>-0.69436747458772408</v>
      </c>
      <c r="E837" s="15">
        <v>0</v>
      </c>
      <c r="F837">
        <f t="shared" si="60"/>
        <v>31.914739018832378</v>
      </c>
      <c r="G837">
        <f t="shared" si="58"/>
        <v>0</v>
      </c>
      <c r="H837" t="e">
        <f t="shared" si="59"/>
        <v>#NUM!</v>
      </c>
    </row>
    <row r="838" spans="1:8" x14ac:dyDescent="0.2">
      <c r="A838" s="1">
        <v>41395</v>
      </c>
      <c r="B838">
        <v>408.68386700000002</v>
      </c>
      <c r="C838" s="2">
        <f t="shared" si="61"/>
        <v>-5.0207648129721736E-3</v>
      </c>
      <c r="D838">
        <v>-1.7463330592913009</v>
      </c>
      <c r="E838" s="15">
        <v>0</v>
      </c>
      <c r="F838">
        <f t="shared" si="60"/>
        <v>2.7371793982084309</v>
      </c>
      <c r="G838">
        <f t="shared" si="58"/>
        <v>0</v>
      </c>
      <c r="H838" t="e">
        <f t="shared" si="59"/>
        <v>#NUM!</v>
      </c>
    </row>
    <row r="839" spans="1:8" x14ac:dyDescent="0.2">
      <c r="A839" s="1">
        <v>41396</v>
      </c>
      <c r="B839">
        <v>413.25672040000001</v>
      </c>
      <c r="C839" s="2">
        <f t="shared" si="61"/>
        <v>1.1189219270062317E-2</v>
      </c>
      <c r="D839">
        <v>-3.2285886088813958</v>
      </c>
      <c r="E839" s="15">
        <v>1</v>
      </c>
      <c r="F839">
        <f t="shared" si="60"/>
        <v>0.2374694676192122</v>
      </c>
      <c r="G839">
        <f t="shared" si="58"/>
        <v>4.2110676796712374</v>
      </c>
      <c r="H839">
        <f t="shared" si="59"/>
        <v>-1.2519644720373115</v>
      </c>
    </row>
    <row r="840" spans="1:8" x14ac:dyDescent="0.2">
      <c r="A840" s="1">
        <v>41397</v>
      </c>
      <c r="B840">
        <v>421.2816674</v>
      </c>
      <c r="C840" s="2">
        <f t="shared" si="61"/>
        <v>1.9418793703421155E-2</v>
      </c>
      <c r="D840">
        <v>0.73549138994690599</v>
      </c>
      <c r="E840" s="15">
        <v>0</v>
      </c>
      <c r="F840">
        <f t="shared" si="60"/>
        <v>2.325724533979753</v>
      </c>
      <c r="G840">
        <f t="shared" ref="G840:G903" si="62">E840/F840</f>
        <v>0</v>
      </c>
      <c r="H840" t="e">
        <f t="shared" ref="H840:H903" si="63">-LOG(G840^2)-(F840^2)/(G840^2)</f>
        <v>#NUM!</v>
      </c>
    </row>
    <row r="841" spans="1:8" x14ac:dyDescent="0.2">
      <c r="A841" s="1">
        <v>41400</v>
      </c>
      <c r="B841">
        <v>429.16711780000003</v>
      </c>
      <c r="C841" s="2">
        <f t="shared" si="61"/>
        <v>1.8717762984243318E-2</v>
      </c>
      <c r="D841">
        <v>-3.6100631681067363E-2</v>
      </c>
      <c r="E841" s="15">
        <v>0</v>
      </c>
      <c r="F841">
        <f t="shared" ref="F841:F904" si="64" xml:space="preserve"> $K$5 + $K$6 * G840 ^ 2 + $K$7 * F840</f>
        <v>0.20221916487029196</v>
      </c>
      <c r="G841">
        <f t="shared" si="62"/>
        <v>0</v>
      </c>
      <c r="H841" t="e">
        <f t="shared" si="63"/>
        <v>#NUM!</v>
      </c>
    </row>
    <row r="842" spans="1:8" x14ac:dyDescent="0.2">
      <c r="A842" s="1">
        <v>41401</v>
      </c>
      <c r="B842">
        <v>427.01516679999997</v>
      </c>
      <c r="C842" s="2">
        <f t="shared" si="61"/>
        <v>-5.0142494863805089E-3</v>
      </c>
      <c r="D842">
        <v>-1.2678872197816333</v>
      </c>
      <c r="E842" s="15">
        <v>0</v>
      </c>
      <c r="F842">
        <f t="shared" si="64"/>
        <v>2.0293481987943604E-2</v>
      </c>
      <c r="G842">
        <f t="shared" si="62"/>
        <v>0</v>
      </c>
      <c r="H842" t="e">
        <f t="shared" si="63"/>
        <v>#NUM!</v>
      </c>
    </row>
    <row r="843" spans="1:8" x14ac:dyDescent="0.2">
      <c r="A843" s="1">
        <v>41402</v>
      </c>
      <c r="B843">
        <v>435.18458429999998</v>
      </c>
      <c r="C843" s="2">
        <f t="shared" si="61"/>
        <v>1.9131445754539903E-2</v>
      </c>
      <c r="D843">
        <v>-4.8154156083585233</v>
      </c>
      <c r="E843" s="15">
        <v>0</v>
      </c>
      <c r="F843">
        <f t="shared" si="64"/>
        <v>4.7074822661304586E-3</v>
      </c>
      <c r="G843">
        <f t="shared" si="62"/>
        <v>0</v>
      </c>
      <c r="H843" t="e">
        <f t="shared" si="63"/>
        <v>#NUM!</v>
      </c>
    </row>
    <row r="844" spans="1:8" x14ac:dyDescent="0.2">
      <c r="A844" s="1">
        <v>41403</v>
      </c>
      <c r="B844">
        <v>434.1135678</v>
      </c>
      <c r="C844" s="2">
        <f t="shared" si="61"/>
        <v>-2.4610625896198243E-3</v>
      </c>
      <c r="D844">
        <v>-1.1286396554236269</v>
      </c>
      <c r="E844" s="15">
        <v>0</v>
      </c>
      <c r="F844">
        <f t="shared" si="64"/>
        <v>3.3721931333395793E-3</v>
      </c>
      <c r="G844">
        <f t="shared" si="62"/>
        <v>0</v>
      </c>
      <c r="H844" t="e">
        <f t="shared" si="63"/>
        <v>#NUM!</v>
      </c>
    </row>
    <row r="845" spans="1:8" x14ac:dyDescent="0.2">
      <c r="A845" s="1">
        <v>41404</v>
      </c>
      <c r="B845">
        <v>438.47224840000001</v>
      </c>
      <c r="C845" s="2">
        <f t="shared" si="61"/>
        <v>1.0040415511749444E-2</v>
      </c>
      <c r="D845">
        <v>-5.0797075028069276</v>
      </c>
      <c r="E845" s="15">
        <v>0</v>
      </c>
      <c r="F845">
        <f t="shared" si="64"/>
        <v>3.2577957831552307E-3</v>
      </c>
      <c r="G845">
        <f t="shared" si="62"/>
        <v>0</v>
      </c>
      <c r="H845" t="e">
        <f t="shared" si="63"/>
        <v>#NUM!</v>
      </c>
    </row>
    <row r="846" spans="1:8" x14ac:dyDescent="0.2">
      <c r="A846" s="1">
        <v>41407</v>
      </c>
      <c r="B846">
        <v>437.12730599999998</v>
      </c>
      <c r="C846" s="2">
        <f t="shared" si="61"/>
        <v>-3.0673375679025898E-3</v>
      </c>
      <c r="D846">
        <v>-1.3054990666783806</v>
      </c>
      <c r="E846" s="15">
        <v>0</v>
      </c>
      <c r="F846">
        <f t="shared" si="64"/>
        <v>3.2479950939952374E-3</v>
      </c>
      <c r="G846">
        <f t="shared" si="62"/>
        <v>0</v>
      </c>
      <c r="H846" t="e">
        <f t="shared" si="63"/>
        <v>#NUM!</v>
      </c>
    </row>
    <row r="847" spans="1:8" x14ac:dyDescent="0.2">
      <c r="A847" s="1">
        <v>41408</v>
      </c>
      <c r="B847">
        <v>441.89443469999998</v>
      </c>
      <c r="C847" s="2">
        <f t="shared" si="61"/>
        <v>1.0905584333365807E-2</v>
      </c>
      <c r="D847">
        <v>-4.5553909838567002</v>
      </c>
      <c r="E847" s="15">
        <v>1</v>
      </c>
      <c r="F847">
        <f t="shared" si="64"/>
        <v>3.2471554459801736E-3</v>
      </c>
      <c r="G847">
        <f t="shared" si="62"/>
        <v>307.96185049839642</v>
      </c>
      <c r="H847">
        <f t="shared" si="63"/>
        <v>-4.9769938412666175</v>
      </c>
    </row>
    <row r="848" spans="1:8" x14ac:dyDescent="0.2">
      <c r="A848" s="1">
        <v>41409</v>
      </c>
      <c r="B848">
        <v>456.23570660000001</v>
      </c>
      <c r="C848" s="2">
        <f t="shared" si="61"/>
        <v>3.2454067699984178E-2</v>
      </c>
      <c r="D848">
        <v>1.97591277165135</v>
      </c>
      <c r="E848" s="15">
        <v>0</v>
      </c>
      <c r="F848">
        <f t="shared" si="64"/>
        <v>12313.80802869893</v>
      </c>
      <c r="G848">
        <f t="shared" si="62"/>
        <v>0</v>
      </c>
      <c r="H848" t="e">
        <f t="shared" si="63"/>
        <v>#NUM!</v>
      </c>
    </row>
    <row r="849" spans="1:8" x14ac:dyDescent="0.2">
      <c r="A849" s="1">
        <v>41410</v>
      </c>
      <c r="B849">
        <v>450.24814739999999</v>
      </c>
      <c r="C849" s="2">
        <f t="shared" si="61"/>
        <v>-1.3123828567958956E-2</v>
      </c>
      <c r="D849">
        <v>-1.404381622953395</v>
      </c>
      <c r="E849" s="15">
        <v>0</v>
      </c>
      <c r="F849">
        <f t="shared" si="64"/>
        <v>1054.9557686783596</v>
      </c>
      <c r="G849">
        <f t="shared" si="62"/>
        <v>0</v>
      </c>
      <c r="H849" t="e">
        <f t="shared" si="63"/>
        <v>#NUM!</v>
      </c>
    </row>
    <row r="850" spans="1:8" x14ac:dyDescent="0.2">
      <c r="A850" s="1">
        <v>41411</v>
      </c>
      <c r="B850">
        <v>452.89323250000001</v>
      </c>
      <c r="C850" s="2">
        <f t="shared" si="61"/>
        <v>5.8747273370791378E-3</v>
      </c>
      <c r="D850">
        <v>-1.447638225892552</v>
      </c>
      <c r="E850" s="15">
        <v>0</v>
      </c>
      <c r="F850">
        <f t="shared" si="64"/>
        <v>90.383502616841383</v>
      </c>
      <c r="G850">
        <f t="shared" si="62"/>
        <v>0</v>
      </c>
      <c r="H850" t="e">
        <f t="shared" si="63"/>
        <v>#NUM!</v>
      </c>
    </row>
    <row r="851" spans="1:8" x14ac:dyDescent="0.2">
      <c r="A851" s="1">
        <v>41414</v>
      </c>
      <c r="B851">
        <v>452.56944060000001</v>
      </c>
      <c r="C851" s="2">
        <f t="shared" si="61"/>
        <v>-7.1494091049374058E-4</v>
      </c>
      <c r="D851">
        <v>-1.1216977179487624</v>
      </c>
      <c r="E851" s="15">
        <v>1</v>
      </c>
      <c r="F851">
        <f t="shared" si="64"/>
        <v>7.7463354378351292</v>
      </c>
      <c r="G851">
        <f t="shared" si="62"/>
        <v>0.12909329940912942</v>
      </c>
      <c r="H851">
        <f t="shared" si="63"/>
        <v>-3598.9073658919333</v>
      </c>
    </row>
    <row r="852" spans="1:8" x14ac:dyDescent="0.2">
      <c r="A852" s="1">
        <v>41415</v>
      </c>
      <c r="B852">
        <v>451.7923394</v>
      </c>
      <c r="C852" s="2">
        <f t="shared" si="61"/>
        <v>-1.7170872142178929E-3</v>
      </c>
      <c r="D852">
        <v>1.4017190637923724</v>
      </c>
      <c r="E852" s="15">
        <v>1</v>
      </c>
      <c r="F852">
        <f t="shared" si="64"/>
        <v>0.66877935171360547</v>
      </c>
      <c r="G852">
        <f t="shared" si="62"/>
        <v>1.495261475160248</v>
      </c>
      <c r="H852">
        <f t="shared" si="63"/>
        <v>-0.54948100293368762</v>
      </c>
    </row>
    <row r="853" spans="1:8" x14ac:dyDescent="0.2">
      <c r="A853" s="1">
        <v>41416</v>
      </c>
      <c r="B853">
        <v>443.0501064</v>
      </c>
      <c r="C853" s="2">
        <f t="shared" si="61"/>
        <v>-1.9350113398580567E-2</v>
      </c>
      <c r="D853">
        <v>10.269150010760663</v>
      </c>
      <c r="E853" s="15">
        <v>0</v>
      </c>
      <c r="F853">
        <f t="shared" si="64"/>
        <v>0.35055521180700999</v>
      </c>
      <c r="G853">
        <f t="shared" si="62"/>
        <v>0</v>
      </c>
      <c r="H853" t="e">
        <f t="shared" si="63"/>
        <v>#NUM!</v>
      </c>
    </row>
    <row r="854" spans="1:8" x14ac:dyDescent="0.2">
      <c r="A854" s="1">
        <v>41417</v>
      </c>
      <c r="B854">
        <v>439.74748849999997</v>
      </c>
      <c r="C854" s="2">
        <f t="shared" si="61"/>
        <v>-7.4542762822819844E-3</v>
      </c>
      <c r="D854">
        <v>-0.61476834121143731</v>
      </c>
      <c r="E854" s="15">
        <v>1</v>
      </c>
      <c r="F854">
        <f t="shared" si="64"/>
        <v>3.3001778857636818E-2</v>
      </c>
      <c r="G854">
        <f t="shared" si="62"/>
        <v>30.301396912990761</v>
      </c>
      <c r="H854">
        <f t="shared" si="63"/>
        <v>-2.9629264865885596</v>
      </c>
    </row>
    <row r="855" spans="1:8" x14ac:dyDescent="0.2">
      <c r="A855" s="1">
        <v>41418</v>
      </c>
      <c r="B855">
        <v>435.03013429999999</v>
      </c>
      <c r="C855" s="2">
        <f t="shared" si="61"/>
        <v>-1.0727415899727165E-2</v>
      </c>
      <c r="D855">
        <v>0.43909555984999943</v>
      </c>
      <c r="E855" s="15">
        <v>0</v>
      </c>
      <c r="F855">
        <f t="shared" si="64"/>
        <v>119.21882540384722</v>
      </c>
      <c r="G855">
        <f t="shared" si="62"/>
        <v>0</v>
      </c>
      <c r="H855" t="e">
        <f t="shared" si="63"/>
        <v>#NUM!</v>
      </c>
    </row>
    <row r="856" spans="1:8" x14ac:dyDescent="0.2">
      <c r="A856" s="1">
        <v>41422</v>
      </c>
      <c r="B856">
        <v>438.99031550000001</v>
      </c>
      <c r="C856" s="2">
        <f t="shared" si="61"/>
        <v>9.1032342078377782E-3</v>
      </c>
      <c r="D856">
        <v>-1.8485952528482936</v>
      </c>
      <c r="E856" s="15">
        <v>0</v>
      </c>
      <c r="F856">
        <f t="shared" si="64"/>
        <v>10.2167251366184</v>
      </c>
      <c r="G856">
        <f t="shared" si="62"/>
        <v>0</v>
      </c>
      <c r="H856" t="e">
        <f t="shared" si="63"/>
        <v>#NUM!</v>
      </c>
    </row>
    <row r="857" spans="1:8" x14ac:dyDescent="0.2">
      <c r="A857" s="1">
        <v>41423</v>
      </c>
      <c r="B857">
        <v>432.534494</v>
      </c>
      <c r="C857" s="2">
        <f t="shared" si="61"/>
        <v>-1.4706068156986513E-2</v>
      </c>
      <c r="D857">
        <v>-2.6154772931498083</v>
      </c>
      <c r="E857" s="15">
        <v>0</v>
      </c>
      <c r="F857">
        <f t="shared" si="64"/>
        <v>0.87825968454277048</v>
      </c>
      <c r="G857">
        <f t="shared" si="62"/>
        <v>0</v>
      </c>
      <c r="H857" t="e">
        <f t="shared" si="63"/>
        <v>#NUM!</v>
      </c>
    </row>
    <row r="858" spans="1:8" x14ac:dyDescent="0.2">
      <c r="A858" s="1">
        <v>41424</v>
      </c>
      <c r="B858">
        <v>433.75492459999998</v>
      </c>
      <c r="C858" s="2">
        <f t="shared" si="61"/>
        <v>2.8215798206373478E-3</v>
      </c>
      <c r="D858">
        <v>-1.1918650036513587</v>
      </c>
      <c r="E858" s="15">
        <v>0</v>
      </c>
      <c r="F858">
        <f t="shared" si="64"/>
        <v>7.8211458079113796E-2</v>
      </c>
      <c r="G858">
        <f t="shared" si="62"/>
        <v>0</v>
      </c>
      <c r="H858" t="e">
        <f t="shared" si="63"/>
        <v>#NUM!</v>
      </c>
    </row>
    <row r="859" spans="1:8" x14ac:dyDescent="0.2">
      <c r="A859" s="1">
        <v>41425</v>
      </c>
      <c r="B859">
        <v>433.98408160000002</v>
      </c>
      <c r="C859" s="2">
        <f t="shared" si="61"/>
        <v>5.2830985195468922E-4</v>
      </c>
      <c r="D859">
        <v>-0.81276097592895569</v>
      </c>
      <c r="E859" s="15">
        <v>0</v>
      </c>
      <c r="F859">
        <f t="shared" si="64"/>
        <v>9.6694510488929374E-3</v>
      </c>
      <c r="G859">
        <f t="shared" si="62"/>
        <v>0</v>
      </c>
      <c r="H859" t="e">
        <f t="shared" si="63"/>
        <v>#NUM!</v>
      </c>
    </row>
    <row r="860" spans="1:8" x14ac:dyDescent="0.2">
      <c r="A860" s="1">
        <v>41428</v>
      </c>
      <c r="B860">
        <v>432.19577909999998</v>
      </c>
      <c r="C860" s="2">
        <f t="shared" si="61"/>
        <v>-4.120663811923656E-3</v>
      </c>
      <c r="D860">
        <v>-8.7997103341488838</v>
      </c>
      <c r="E860" s="15">
        <v>1</v>
      </c>
      <c r="F860">
        <f t="shared" si="64"/>
        <v>3.7972966307814201E-3</v>
      </c>
      <c r="G860">
        <f t="shared" si="62"/>
        <v>263.34524195288287</v>
      </c>
      <c r="H860">
        <f t="shared" si="63"/>
        <v>-4.8410509523177225</v>
      </c>
    </row>
    <row r="861" spans="1:8" x14ac:dyDescent="0.2">
      <c r="A861" s="1">
        <v>41429</v>
      </c>
      <c r="B861">
        <v>427.94668730000001</v>
      </c>
      <c r="C861" s="2">
        <f t="shared" si="61"/>
        <v>-9.8314051304439817E-3</v>
      </c>
      <c r="D861">
        <v>1.3858789697901541</v>
      </c>
      <c r="E861" s="15">
        <v>0</v>
      </c>
      <c r="F861">
        <f t="shared" si="64"/>
        <v>9004.2912479547413</v>
      </c>
      <c r="G861">
        <f t="shared" si="62"/>
        <v>0</v>
      </c>
      <c r="H861" t="e">
        <f t="shared" si="63"/>
        <v>#NUM!</v>
      </c>
    </row>
    <row r="862" spans="1:8" x14ac:dyDescent="0.2">
      <c r="A862" s="1">
        <v>41430</v>
      </c>
      <c r="B862">
        <v>428.2455769</v>
      </c>
      <c r="C862" s="2">
        <f t="shared" si="61"/>
        <v>6.9842718467047569E-4</v>
      </c>
      <c r="D862">
        <v>-1.0710404235614015</v>
      </c>
      <c r="E862" s="15">
        <v>1</v>
      </c>
      <c r="F862">
        <f t="shared" si="64"/>
        <v>771.42170791920262</v>
      </c>
      <c r="G862">
        <f t="shared" si="62"/>
        <v>1.2963078297308407E-3</v>
      </c>
      <c r="H862">
        <f t="shared" si="63"/>
        <v>-354133835581.8786</v>
      </c>
    </row>
    <row r="863" spans="1:8" x14ac:dyDescent="0.2">
      <c r="A863" s="1">
        <v>41431</v>
      </c>
      <c r="B863">
        <v>430.7063354</v>
      </c>
      <c r="C863" s="2">
        <f t="shared" si="61"/>
        <v>5.7461387407968748E-3</v>
      </c>
      <c r="D863">
        <v>7.2272552771667318</v>
      </c>
      <c r="E863" s="15">
        <v>1</v>
      </c>
      <c r="F863">
        <f t="shared" si="64"/>
        <v>66.092475190647107</v>
      </c>
      <c r="G863">
        <f t="shared" si="62"/>
        <v>1.5130315472607875E-2</v>
      </c>
      <c r="H863">
        <f t="shared" si="63"/>
        <v>-19081301.064394664</v>
      </c>
    </row>
    <row r="864" spans="1:8" x14ac:dyDescent="0.2">
      <c r="A864" s="1">
        <v>41432</v>
      </c>
      <c r="B864">
        <v>438.22319390000001</v>
      </c>
      <c r="C864" s="2">
        <f t="shared" si="61"/>
        <v>1.7452398263468897E-2</v>
      </c>
      <c r="D864">
        <v>2.0372392750559651</v>
      </c>
      <c r="E864" s="15">
        <v>0</v>
      </c>
      <c r="F864">
        <f t="shared" si="64"/>
        <v>5.6652958984468489</v>
      </c>
      <c r="G864">
        <f t="shared" si="62"/>
        <v>0</v>
      </c>
      <c r="H864" t="e">
        <f t="shared" si="63"/>
        <v>#NUM!</v>
      </c>
    </row>
    <row r="865" spans="1:8" x14ac:dyDescent="0.2">
      <c r="A865" s="1">
        <v>41435</v>
      </c>
      <c r="B865">
        <v>443.4486058</v>
      </c>
      <c r="C865" s="2">
        <f t="shared" si="61"/>
        <v>1.1924087936779522E-2</v>
      </c>
      <c r="D865">
        <v>-0.31676507968885587</v>
      </c>
      <c r="E865" s="15">
        <v>0</v>
      </c>
      <c r="F865">
        <f t="shared" si="64"/>
        <v>0.48832807227079617</v>
      </c>
      <c r="G865">
        <f t="shared" si="62"/>
        <v>0</v>
      </c>
      <c r="H865" t="e">
        <f t="shared" si="63"/>
        <v>#NUM!</v>
      </c>
    </row>
    <row r="866" spans="1:8" x14ac:dyDescent="0.2">
      <c r="A866" s="1">
        <v>41436</v>
      </c>
      <c r="B866">
        <v>438.26305000000002</v>
      </c>
      <c r="C866" s="2">
        <f t="shared" si="61"/>
        <v>-1.1693701890538168E-2</v>
      </c>
      <c r="D866">
        <v>-1.9806789376711376</v>
      </c>
      <c r="E866" s="15">
        <v>0</v>
      </c>
      <c r="F866">
        <f t="shared" si="64"/>
        <v>4.4805102780024697E-2</v>
      </c>
      <c r="G866">
        <f t="shared" si="62"/>
        <v>0</v>
      </c>
      <c r="H866" t="e">
        <f t="shared" si="63"/>
        <v>#NUM!</v>
      </c>
    </row>
    <row r="867" spans="1:8" x14ac:dyDescent="0.2">
      <c r="A867" s="1">
        <v>41437</v>
      </c>
      <c r="B867">
        <v>434.36265259999999</v>
      </c>
      <c r="C867" s="2">
        <f t="shared" si="61"/>
        <v>-8.8996720120485418E-3</v>
      </c>
      <c r="D867">
        <v>-0.23893459099982575</v>
      </c>
      <c r="E867" s="15">
        <v>0</v>
      </c>
      <c r="F867">
        <f t="shared" si="64"/>
        <v>6.8074502794077804E-3</v>
      </c>
      <c r="G867">
        <f t="shared" si="62"/>
        <v>0</v>
      </c>
      <c r="H867" t="e">
        <f t="shared" si="63"/>
        <v>#NUM!</v>
      </c>
    </row>
    <row r="868" spans="1:8" x14ac:dyDescent="0.2">
      <c r="A868" s="1">
        <v>41438</v>
      </c>
      <c r="B868">
        <v>436.8632672</v>
      </c>
      <c r="C868" s="2">
        <f t="shared" si="61"/>
        <v>5.7569742357725115E-3</v>
      </c>
      <c r="D868">
        <v>-1.6468748767346271</v>
      </c>
      <c r="E868" s="15">
        <v>0</v>
      </c>
      <c r="F868">
        <f t="shared" si="64"/>
        <v>3.5521023157716355E-3</v>
      </c>
      <c r="G868">
        <f t="shared" si="62"/>
        <v>0</v>
      </c>
      <c r="H868" t="e">
        <f t="shared" si="63"/>
        <v>#NUM!</v>
      </c>
    </row>
    <row r="869" spans="1:8" x14ac:dyDescent="0.2">
      <c r="A869" s="1">
        <v>41439</v>
      </c>
      <c r="B869">
        <v>435.88694720000001</v>
      </c>
      <c r="C869" s="2">
        <f t="shared" si="61"/>
        <v>-2.2348411352081446E-3</v>
      </c>
      <c r="D869">
        <v>-1.3881971750579247</v>
      </c>
      <c r="E869" s="15">
        <v>0</v>
      </c>
      <c r="F869">
        <f t="shared" si="64"/>
        <v>3.2732090245563969E-3</v>
      </c>
      <c r="G869">
        <f t="shared" si="62"/>
        <v>0</v>
      </c>
      <c r="H869" t="e">
        <f t="shared" si="63"/>
        <v>#NUM!</v>
      </c>
    </row>
    <row r="870" spans="1:8" x14ac:dyDescent="0.2">
      <c r="A870" s="1">
        <v>41442</v>
      </c>
      <c r="B870">
        <v>441.47103270000002</v>
      </c>
      <c r="C870" s="2">
        <f t="shared" si="61"/>
        <v>1.2810857347003426E-2</v>
      </c>
      <c r="D870">
        <v>-6.7323346815031089</v>
      </c>
      <c r="E870" s="15">
        <v>1</v>
      </c>
      <c r="F870">
        <f t="shared" si="64"/>
        <v>3.249315582517719E-3</v>
      </c>
      <c r="G870">
        <f t="shared" si="62"/>
        <v>307.75711826216462</v>
      </c>
      <c r="H870">
        <f t="shared" si="63"/>
        <v>-4.9764162135617358</v>
      </c>
    </row>
    <row r="871" spans="1:8" x14ac:dyDescent="0.2">
      <c r="A871" s="1">
        <v>41443</v>
      </c>
      <c r="B871">
        <v>448.62918719999999</v>
      </c>
      <c r="C871" s="2">
        <f t="shared" si="61"/>
        <v>1.6214324315281324E-2</v>
      </c>
      <c r="D871">
        <v>0.26567050714010171</v>
      </c>
      <c r="E871" s="15">
        <v>0</v>
      </c>
      <c r="F871">
        <f t="shared" si="64"/>
        <v>12297.441100335107</v>
      </c>
      <c r="G871">
        <f t="shared" si="62"/>
        <v>0</v>
      </c>
      <c r="H871" t="e">
        <f t="shared" si="63"/>
        <v>#NUM!</v>
      </c>
    </row>
    <row r="872" spans="1:8" x14ac:dyDescent="0.2">
      <c r="A872" s="1">
        <v>41444</v>
      </c>
      <c r="B872">
        <v>448.6590946</v>
      </c>
      <c r="C872" s="2">
        <f t="shared" si="61"/>
        <v>6.6663964033798911E-5</v>
      </c>
      <c r="D872">
        <v>-0.99588857588280932</v>
      </c>
      <c r="E872" s="15">
        <v>0</v>
      </c>
      <c r="F872">
        <f t="shared" si="64"/>
        <v>1053.5535755581586</v>
      </c>
      <c r="G872">
        <f t="shared" si="62"/>
        <v>0</v>
      </c>
      <c r="H872" t="e">
        <f t="shared" si="63"/>
        <v>#NUM!</v>
      </c>
    </row>
    <row r="873" spans="1:8" x14ac:dyDescent="0.2">
      <c r="A873" s="1">
        <v>41445</v>
      </c>
      <c r="B873">
        <v>440.71883409999998</v>
      </c>
      <c r="C873" s="2">
        <f t="shared" si="61"/>
        <v>-1.7697758934495968E-2</v>
      </c>
      <c r="D873">
        <v>-266.47714632635899</v>
      </c>
      <c r="E873" s="15">
        <v>0</v>
      </c>
      <c r="F873">
        <f t="shared" si="64"/>
        <v>90.263373445219614</v>
      </c>
      <c r="G873">
        <f t="shared" si="62"/>
        <v>0</v>
      </c>
      <c r="H873" t="e">
        <f t="shared" si="63"/>
        <v>#NUM!</v>
      </c>
    </row>
    <row r="874" spans="1:8" x14ac:dyDescent="0.2">
      <c r="A874" s="1">
        <v>41446</v>
      </c>
      <c r="B874">
        <v>438.82094289999998</v>
      </c>
      <c r="C874" s="2">
        <f t="shared" si="61"/>
        <v>-4.3063537411005409E-3</v>
      </c>
      <c r="D874">
        <v>-0.75667236981589125</v>
      </c>
      <c r="E874" s="15">
        <v>1</v>
      </c>
      <c r="F874">
        <f t="shared" si="64"/>
        <v>7.7360436900960847</v>
      </c>
      <c r="G874">
        <f t="shared" si="62"/>
        <v>0.12926504038236367</v>
      </c>
      <c r="H874">
        <f t="shared" si="63"/>
        <v>-3579.8112007514869</v>
      </c>
    </row>
    <row r="875" spans="1:8" x14ac:dyDescent="0.2">
      <c r="A875" s="1">
        <v>41449</v>
      </c>
      <c r="B875">
        <v>433.27173920000001</v>
      </c>
      <c r="C875" s="2">
        <f t="shared" si="61"/>
        <v>-1.2645712994752249E-2</v>
      </c>
      <c r="D875">
        <v>1.9365244369173638</v>
      </c>
      <c r="E875" s="15">
        <v>0</v>
      </c>
      <c r="F875">
        <f t="shared" si="64"/>
        <v>0.66790339451851277</v>
      </c>
      <c r="G875">
        <f t="shared" si="62"/>
        <v>0</v>
      </c>
      <c r="H875" t="e">
        <f t="shared" si="63"/>
        <v>#NUM!</v>
      </c>
    </row>
    <row r="876" spans="1:8" x14ac:dyDescent="0.2">
      <c r="A876" s="1">
        <v>41450</v>
      </c>
      <c r="B876">
        <v>431.48343620000003</v>
      </c>
      <c r="C876" s="2">
        <f t="shared" si="61"/>
        <v>-4.1274397524794408E-3</v>
      </c>
      <c r="D876">
        <v>-0.6736095660092668</v>
      </c>
      <c r="E876" s="15">
        <v>0</v>
      </c>
      <c r="F876">
        <f t="shared" si="64"/>
        <v>6.0189741596565205E-2</v>
      </c>
      <c r="G876">
        <f t="shared" si="62"/>
        <v>0</v>
      </c>
      <c r="H876" t="e">
        <f t="shared" si="63"/>
        <v>#NUM!</v>
      </c>
    </row>
    <row r="877" spans="1:8" x14ac:dyDescent="0.2">
      <c r="A877" s="1">
        <v>41451</v>
      </c>
      <c r="B877">
        <v>435.19453299999998</v>
      </c>
      <c r="C877" s="2">
        <f t="shared" si="61"/>
        <v>8.6007862380139966E-3</v>
      </c>
      <c r="D877">
        <v>-3.0838066098596162</v>
      </c>
      <c r="E877" s="15">
        <v>0</v>
      </c>
      <c r="F877">
        <f t="shared" si="64"/>
        <v>8.1254883514147187E-3</v>
      </c>
      <c r="G877">
        <f t="shared" si="62"/>
        <v>0</v>
      </c>
      <c r="H877" t="e">
        <f t="shared" si="63"/>
        <v>#NUM!</v>
      </c>
    </row>
    <row r="878" spans="1:8" x14ac:dyDescent="0.2">
      <c r="A878" s="1">
        <v>41452</v>
      </c>
      <c r="B878">
        <v>436.89814899999999</v>
      </c>
      <c r="C878" s="2">
        <f t="shared" si="61"/>
        <v>3.9146079989934319E-3</v>
      </c>
      <c r="D878">
        <v>-0.5448546341389654</v>
      </c>
      <c r="E878" s="15">
        <v>0</v>
      </c>
      <c r="F878">
        <f t="shared" si="64"/>
        <v>3.6650217271387729E-3</v>
      </c>
      <c r="G878">
        <f t="shared" si="62"/>
        <v>0</v>
      </c>
      <c r="H878" t="e">
        <f t="shared" si="63"/>
        <v>#NUM!</v>
      </c>
    </row>
    <row r="879" spans="1:8" x14ac:dyDescent="0.2">
      <c r="A879" s="1">
        <v>41453</v>
      </c>
      <c r="B879">
        <v>438.54198100000002</v>
      </c>
      <c r="C879" s="2">
        <f t="shared" si="61"/>
        <v>3.7625062128611394E-3</v>
      </c>
      <c r="D879">
        <v>-3.885492140500469E-2</v>
      </c>
      <c r="E879" s="15">
        <v>1</v>
      </c>
      <c r="F879">
        <f t="shared" si="64"/>
        <v>3.2828830952333428E-3</v>
      </c>
      <c r="G879">
        <f t="shared" si="62"/>
        <v>304.61029862804827</v>
      </c>
      <c r="H879">
        <f t="shared" si="63"/>
        <v>-4.9674891649036148</v>
      </c>
    </row>
    <row r="880" spans="1:8" x14ac:dyDescent="0.2">
      <c r="A880" s="1">
        <v>41456</v>
      </c>
      <c r="B880">
        <v>442.28298480000001</v>
      </c>
      <c r="C880" s="2">
        <f t="shared" si="61"/>
        <v>8.530548868934824E-3</v>
      </c>
      <c r="D880">
        <v>1.2672517695187806</v>
      </c>
      <c r="E880" s="15">
        <v>0</v>
      </c>
      <c r="F880">
        <f t="shared" si="64"/>
        <v>12047.243958730145</v>
      </c>
      <c r="G880">
        <f t="shared" si="62"/>
        <v>0</v>
      </c>
      <c r="H880" t="e">
        <f t="shared" si="63"/>
        <v>#NUM!</v>
      </c>
    </row>
    <row r="881" spans="1:8" x14ac:dyDescent="0.2">
      <c r="A881" s="1">
        <v>41457</v>
      </c>
      <c r="B881">
        <v>439.50838320000003</v>
      </c>
      <c r="C881" s="2">
        <f t="shared" si="61"/>
        <v>-6.273362745923077E-3</v>
      </c>
      <c r="D881">
        <v>-1.735399660948945</v>
      </c>
      <c r="E881" s="15">
        <v>0</v>
      </c>
      <c r="F881">
        <f t="shared" si="64"/>
        <v>1032.1185999259646</v>
      </c>
      <c r="G881">
        <f t="shared" si="62"/>
        <v>0</v>
      </c>
      <c r="H881" t="e">
        <f t="shared" si="63"/>
        <v>#NUM!</v>
      </c>
    </row>
    <row r="882" spans="1:8" x14ac:dyDescent="0.2">
      <c r="A882" s="1">
        <v>41458</v>
      </c>
      <c r="B882">
        <v>441.56069359999998</v>
      </c>
      <c r="C882" s="2">
        <f t="shared" si="61"/>
        <v>4.6695591675802953E-3</v>
      </c>
      <c r="D882">
        <v>-1.7443470681836375</v>
      </c>
      <c r="E882" s="15">
        <v>1</v>
      </c>
      <c r="F882">
        <f t="shared" si="64"/>
        <v>88.426988835046117</v>
      </c>
      <c r="G882">
        <f t="shared" si="62"/>
        <v>1.1308764588438318E-2</v>
      </c>
      <c r="H882">
        <f t="shared" si="63"/>
        <v>-61141954.575918853</v>
      </c>
    </row>
    <row r="883" spans="1:8" x14ac:dyDescent="0.2">
      <c r="A883" s="1">
        <v>41460</v>
      </c>
      <c r="B883">
        <v>445.07751469999999</v>
      </c>
      <c r="C883" s="2">
        <f t="shared" si="61"/>
        <v>7.9645248115898324E-3</v>
      </c>
      <c r="D883">
        <v>0.70562670388368698</v>
      </c>
      <c r="E883" s="15">
        <v>1</v>
      </c>
      <c r="F883">
        <f t="shared" si="64"/>
        <v>7.5787329203115368</v>
      </c>
      <c r="G883">
        <f t="shared" si="62"/>
        <v>0.131948177949368</v>
      </c>
      <c r="H883">
        <f t="shared" si="63"/>
        <v>-3297.2719094573536</v>
      </c>
    </row>
    <row r="884" spans="1:8" x14ac:dyDescent="0.2">
      <c r="A884" s="1">
        <v>41463</v>
      </c>
      <c r="B884">
        <v>450.85584510000001</v>
      </c>
      <c r="C884" s="2">
        <f t="shared" si="61"/>
        <v>1.2982750665116932E-2</v>
      </c>
      <c r="D884">
        <v>0.6300722230439495</v>
      </c>
      <c r="E884" s="15">
        <v>0</v>
      </c>
      <c r="F884">
        <f t="shared" si="64"/>
        <v>0.65451721108155592</v>
      </c>
      <c r="G884">
        <f t="shared" si="62"/>
        <v>0</v>
      </c>
      <c r="H884" t="e">
        <f t="shared" si="63"/>
        <v>#NUM!</v>
      </c>
    </row>
    <row r="885" spans="1:8" x14ac:dyDescent="0.2">
      <c r="A885" s="1">
        <v>41464</v>
      </c>
      <c r="B885">
        <v>450.93058300000001</v>
      </c>
      <c r="C885" s="2">
        <f t="shared" si="61"/>
        <v>1.6576894990332321E-4</v>
      </c>
      <c r="D885">
        <v>-0.98723160028415824</v>
      </c>
      <c r="E885" s="15">
        <v>1</v>
      </c>
      <c r="F885">
        <f t="shared" si="64"/>
        <v>5.9042915881696377E-2</v>
      </c>
      <c r="G885">
        <f t="shared" si="62"/>
        <v>16.936832896323899</v>
      </c>
      <c r="H885">
        <f t="shared" si="63"/>
        <v>-2.457676558004589</v>
      </c>
    </row>
    <row r="886" spans="1:8" x14ac:dyDescent="0.2">
      <c r="A886" s="1">
        <v>41465</v>
      </c>
      <c r="B886">
        <v>451.3041796</v>
      </c>
      <c r="C886" s="2">
        <f t="shared" si="61"/>
        <v>8.2850135715896835E-4</v>
      </c>
      <c r="D886">
        <v>3.9979284880681938</v>
      </c>
      <c r="E886" s="15">
        <v>1</v>
      </c>
      <c r="F886">
        <f t="shared" si="64"/>
        <v>37.252585555714532</v>
      </c>
      <c r="G886">
        <f t="shared" si="62"/>
        <v>2.6843774333580463E-2</v>
      </c>
      <c r="H886">
        <f t="shared" si="63"/>
        <v>-1925861.1601544551</v>
      </c>
    </row>
    <row r="887" spans="1:8" x14ac:dyDescent="0.2">
      <c r="A887" s="1">
        <v>41466</v>
      </c>
      <c r="B887">
        <v>458.40258060000002</v>
      </c>
      <c r="C887" s="2">
        <f t="shared" si="61"/>
        <v>1.5728640063319334E-2</v>
      </c>
      <c r="D887">
        <v>17.984446950400599</v>
      </c>
      <c r="E887" s="15">
        <v>0</v>
      </c>
      <c r="F887">
        <f t="shared" si="64"/>
        <v>3.1945787829786605</v>
      </c>
      <c r="G887">
        <f t="shared" si="62"/>
        <v>0</v>
      </c>
      <c r="H887" t="e">
        <f t="shared" si="63"/>
        <v>#NUM!</v>
      </c>
    </row>
    <row r="888" spans="1:8" x14ac:dyDescent="0.2">
      <c r="A888" s="1">
        <v>41467</v>
      </c>
      <c r="B888">
        <v>459.77743029999999</v>
      </c>
      <c r="C888" s="2">
        <f t="shared" si="61"/>
        <v>2.999218935897871E-3</v>
      </c>
      <c r="D888">
        <v>-0.80931479620464253</v>
      </c>
      <c r="E888" s="15">
        <v>0</v>
      </c>
      <c r="F888">
        <f t="shared" si="64"/>
        <v>0.27665594514584407</v>
      </c>
      <c r="G888">
        <f t="shared" si="62"/>
        <v>0</v>
      </c>
      <c r="H888" t="e">
        <f t="shared" si="63"/>
        <v>#NUM!</v>
      </c>
    </row>
    <row r="889" spans="1:8" x14ac:dyDescent="0.2">
      <c r="A889" s="1">
        <v>41470</v>
      </c>
      <c r="B889">
        <v>460.61928979999999</v>
      </c>
      <c r="C889" s="2">
        <f t="shared" si="61"/>
        <v>1.8310152793944096E-3</v>
      </c>
      <c r="D889">
        <v>-0.38950262767454097</v>
      </c>
      <c r="E889" s="15">
        <v>0</v>
      </c>
      <c r="F889">
        <f t="shared" si="64"/>
        <v>2.6670655448480816E-2</v>
      </c>
      <c r="G889">
        <f t="shared" si="62"/>
        <v>0</v>
      </c>
      <c r="H889" t="e">
        <f t="shared" si="63"/>
        <v>#NUM!</v>
      </c>
    </row>
    <row r="890" spans="1:8" x14ac:dyDescent="0.2">
      <c r="A890" s="1">
        <v>41471</v>
      </c>
      <c r="B890">
        <v>458.08876780000003</v>
      </c>
      <c r="C890" s="2">
        <f t="shared" si="61"/>
        <v>-5.4937386601822732E-3</v>
      </c>
      <c r="D890">
        <v>-4.0003783813312985</v>
      </c>
      <c r="E890" s="15">
        <v>0</v>
      </c>
      <c r="F890">
        <f t="shared" si="64"/>
        <v>5.2538296658330378E-3</v>
      </c>
      <c r="G890">
        <f t="shared" si="62"/>
        <v>0</v>
      </c>
      <c r="H890" t="e">
        <f t="shared" si="63"/>
        <v>#NUM!</v>
      </c>
    </row>
    <row r="891" spans="1:8" x14ac:dyDescent="0.2">
      <c r="A891" s="1">
        <v>41472</v>
      </c>
      <c r="B891">
        <v>457.56075149999998</v>
      </c>
      <c r="C891" s="2">
        <f t="shared" si="61"/>
        <v>-1.152650615154522E-3</v>
      </c>
      <c r="D891">
        <v>-0.79018830591474132</v>
      </c>
      <c r="E891" s="15">
        <v>1</v>
      </c>
      <c r="F891">
        <f t="shared" si="64"/>
        <v>3.4189999958169604E-3</v>
      </c>
      <c r="G891">
        <f t="shared" si="62"/>
        <v>292.48318257486653</v>
      </c>
      <c r="H891">
        <f t="shared" si="63"/>
        <v>-4.9322017996061485</v>
      </c>
    </row>
    <row r="892" spans="1:8" x14ac:dyDescent="0.2">
      <c r="A892" s="1">
        <v>41473</v>
      </c>
      <c r="B892">
        <v>453.6404263</v>
      </c>
      <c r="C892" s="2">
        <f t="shared" si="61"/>
        <v>-8.5678791005307179E-3</v>
      </c>
      <c r="D892">
        <v>6.4331970051324925</v>
      </c>
      <c r="E892" s="15">
        <v>1</v>
      </c>
      <c r="F892">
        <f t="shared" si="64"/>
        <v>11107.091511032932</v>
      </c>
      <c r="G892">
        <f t="shared" si="62"/>
        <v>9.0032570543483573E-5</v>
      </c>
      <c r="H892">
        <f t="shared" si="63"/>
        <v>-1.5219535574175764E+16</v>
      </c>
    </row>
    <row r="893" spans="1:8" x14ac:dyDescent="0.2">
      <c r="A893" s="1">
        <v>41474</v>
      </c>
      <c r="B893">
        <v>446.62671189999998</v>
      </c>
      <c r="C893" s="2">
        <f t="shared" si="61"/>
        <v>-1.5460955402951101E-2</v>
      </c>
      <c r="D893">
        <v>0.80452539322052385</v>
      </c>
      <c r="E893" s="15">
        <v>0</v>
      </c>
      <c r="F893">
        <f t="shared" si="64"/>
        <v>951.57353583209783</v>
      </c>
      <c r="G893">
        <f t="shared" si="62"/>
        <v>0</v>
      </c>
      <c r="H893" t="e">
        <f t="shared" si="63"/>
        <v>#NUM!</v>
      </c>
    </row>
    <row r="894" spans="1:8" x14ac:dyDescent="0.2">
      <c r="A894" s="1">
        <v>41477</v>
      </c>
      <c r="B894">
        <v>453.650375</v>
      </c>
      <c r="C894" s="2">
        <f t="shared" si="61"/>
        <v>1.5726025588842577E-2</v>
      </c>
      <c r="D894">
        <v>-2.0171444893917023</v>
      </c>
      <c r="E894" s="15">
        <v>0</v>
      </c>
      <c r="F894">
        <f t="shared" si="64"/>
        <v>81.526504380785298</v>
      </c>
      <c r="G894">
        <f t="shared" si="62"/>
        <v>0</v>
      </c>
      <c r="H894" t="e">
        <f t="shared" si="63"/>
        <v>#NUM!</v>
      </c>
    </row>
    <row r="895" spans="1:8" x14ac:dyDescent="0.2">
      <c r="A895" s="1">
        <v>41478</v>
      </c>
      <c r="B895">
        <v>450.21326570000002</v>
      </c>
      <c r="C895" s="2">
        <f t="shared" si="61"/>
        <v>-7.5765600326021436E-3</v>
      </c>
      <c r="D895">
        <v>-1.481784796152031</v>
      </c>
      <c r="E895" s="15">
        <v>0</v>
      </c>
      <c r="F895">
        <f t="shared" si="64"/>
        <v>6.9875356364209242</v>
      </c>
      <c r="G895">
        <f t="shared" si="62"/>
        <v>0</v>
      </c>
      <c r="H895" t="e">
        <f t="shared" si="63"/>
        <v>#NUM!</v>
      </c>
    </row>
    <row r="896" spans="1:8" x14ac:dyDescent="0.2">
      <c r="A896" s="1">
        <v>41479</v>
      </c>
      <c r="B896">
        <v>449.76493110000001</v>
      </c>
      <c r="C896" s="2">
        <f t="shared" si="61"/>
        <v>-9.9582716493911089E-4</v>
      </c>
      <c r="D896">
        <v>-0.86856473641678555</v>
      </c>
      <c r="E896" s="15">
        <v>1</v>
      </c>
      <c r="F896">
        <f t="shared" si="64"/>
        <v>0.60160745021086259</v>
      </c>
      <c r="G896">
        <f t="shared" si="62"/>
        <v>1.6622134577115051</v>
      </c>
      <c r="H896">
        <f t="shared" si="63"/>
        <v>-0.57236801647178637</v>
      </c>
    </row>
    <row r="897" spans="1:8" x14ac:dyDescent="0.2">
      <c r="A897" s="1">
        <v>41480</v>
      </c>
      <c r="B897">
        <v>442.19332439999999</v>
      </c>
      <c r="C897" s="2">
        <f t="shared" si="61"/>
        <v>-1.6834586639474031E-2</v>
      </c>
      <c r="D897">
        <v>15.905128954283317</v>
      </c>
      <c r="E897" s="15">
        <v>0</v>
      </c>
      <c r="F897">
        <f t="shared" si="64"/>
        <v>0.41324357586906019</v>
      </c>
      <c r="G897">
        <f t="shared" si="62"/>
        <v>0</v>
      </c>
      <c r="H897" t="e">
        <f t="shared" si="63"/>
        <v>#NUM!</v>
      </c>
    </row>
    <row r="898" spans="1:8" x14ac:dyDescent="0.2">
      <c r="A898" s="1">
        <v>41481</v>
      </c>
      <c r="B898">
        <v>441.02269819999998</v>
      </c>
      <c r="C898" s="2">
        <f t="shared" si="61"/>
        <v>-2.6473176671954644E-3</v>
      </c>
      <c r="D898">
        <v>-0.8427453121428008</v>
      </c>
      <c r="E898" s="15">
        <v>1</v>
      </c>
      <c r="F898">
        <f t="shared" si="64"/>
        <v>3.8372437960584378E-2</v>
      </c>
      <c r="G898">
        <f t="shared" si="62"/>
        <v>26.060371796735609</v>
      </c>
      <c r="H898">
        <f t="shared" si="63"/>
        <v>-2.8319633828719897</v>
      </c>
    </row>
    <row r="899" spans="1:8" x14ac:dyDescent="0.2">
      <c r="A899" s="1">
        <v>41484</v>
      </c>
      <c r="B899">
        <v>439.48845490000002</v>
      </c>
      <c r="C899" s="2">
        <f t="shared" si="61"/>
        <v>-3.4788306957030846E-3</v>
      </c>
      <c r="D899">
        <v>0.31409643006255261</v>
      </c>
      <c r="E899" s="15">
        <v>0</v>
      </c>
      <c r="F899">
        <f t="shared" si="64"/>
        <v>88.184133226621555</v>
      </c>
      <c r="G899">
        <f t="shared" si="62"/>
        <v>0</v>
      </c>
      <c r="H899" t="e">
        <f t="shared" si="63"/>
        <v>#NUM!</v>
      </c>
    </row>
    <row r="900" spans="1:8" x14ac:dyDescent="0.2">
      <c r="A900" s="1">
        <v>41485</v>
      </c>
      <c r="B900">
        <v>443.79730030000002</v>
      </c>
      <c r="C900" s="2">
        <f t="shared" ref="C900:C963" si="65">(B900-B899)/B899</f>
        <v>9.804228875546727E-3</v>
      </c>
      <c r="D900">
        <v>-3.8182541012003046</v>
      </c>
      <c r="E900" s="15">
        <v>0</v>
      </c>
      <c r="F900">
        <f t="shared" si="64"/>
        <v>7.5579103064241941</v>
      </c>
      <c r="G900">
        <f t="shared" si="62"/>
        <v>0</v>
      </c>
      <c r="H900" t="e">
        <f t="shared" si="63"/>
        <v>#NUM!</v>
      </c>
    </row>
    <row r="901" spans="1:8" x14ac:dyDescent="0.2">
      <c r="A901" s="1">
        <v>41486</v>
      </c>
      <c r="B901">
        <v>442.21822650000001</v>
      </c>
      <c r="C901" s="2">
        <f t="shared" si="65"/>
        <v>-3.5580969035471244E-3</v>
      </c>
      <c r="D901">
        <v>-1.3629145084955709</v>
      </c>
      <c r="E901" s="15">
        <v>0</v>
      </c>
      <c r="F901">
        <f t="shared" si="64"/>
        <v>0.65047278525951169</v>
      </c>
      <c r="G901">
        <f t="shared" si="62"/>
        <v>0</v>
      </c>
      <c r="H901" t="e">
        <f t="shared" si="63"/>
        <v>#NUM!</v>
      </c>
    </row>
    <row r="902" spans="1:8" x14ac:dyDescent="0.2">
      <c r="A902" s="1">
        <v>41487</v>
      </c>
      <c r="B902">
        <v>450.4224949</v>
      </c>
      <c r="C902" s="2">
        <f t="shared" si="65"/>
        <v>1.8552533361037279E-2</v>
      </c>
      <c r="D902">
        <v>-6.214173156032361</v>
      </c>
      <c r="E902" s="15">
        <v>0</v>
      </c>
      <c r="F902">
        <f t="shared" si="64"/>
        <v>5.8696420440598925E-2</v>
      </c>
      <c r="G902">
        <f t="shared" si="62"/>
        <v>0</v>
      </c>
      <c r="H902" t="e">
        <f t="shared" si="63"/>
        <v>#NUM!</v>
      </c>
    </row>
    <row r="903" spans="1:8" x14ac:dyDescent="0.2">
      <c r="A903" s="1">
        <v>41488</v>
      </c>
      <c r="B903">
        <v>451.59309020000001</v>
      </c>
      <c r="C903" s="2">
        <f t="shared" si="65"/>
        <v>2.5988828561057781E-3</v>
      </c>
      <c r="D903">
        <v>-0.85991762927839444</v>
      </c>
      <c r="E903" s="15">
        <v>0</v>
      </c>
      <c r="F903">
        <f t="shared" si="64"/>
        <v>7.9975520273470498E-3</v>
      </c>
      <c r="G903">
        <f t="shared" si="62"/>
        <v>0</v>
      </c>
      <c r="H903" t="e">
        <f t="shared" si="63"/>
        <v>#NUM!</v>
      </c>
    </row>
    <row r="904" spans="1:8" x14ac:dyDescent="0.2">
      <c r="A904" s="1">
        <v>41491</v>
      </c>
      <c r="B904">
        <v>450.81101460000002</v>
      </c>
      <c r="C904" s="2">
        <f t="shared" si="65"/>
        <v>-1.7318148062310291E-3</v>
      </c>
      <c r="D904">
        <v>-1.6663689370078103</v>
      </c>
      <c r="E904" s="15">
        <v>1</v>
      </c>
      <c r="F904">
        <f t="shared" si="64"/>
        <v>3.6540611223482003E-3</v>
      </c>
      <c r="G904">
        <f t="shared" ref="G904:G967" si="66">E904/F904</f>
        <v>273.66810967775285</v>
      </c>
      <c r="H904">
        <f t="shared" ref="H904:H967" si="67">-LOG(G904^2)-(F904^2)/(G904^2)</f>
        <v>-4.8744483849298454</v>
      </c>
    </row>
    <row r="905" spans="1:8" x14ac:dyDescent="0.2">
      <c r="A905" s="1">
        <v>41492</v>
      </c>
      <c r="B905">
        <v>446.61175800000001</v>
      </c>
      <c r="C905" s="2">
        <f t="shared" si="65"/>
        <v>-9.3148935230120099E-3</v>
      </c>
      <c r="D905">
        <v>4.378689158619756</v>
      </c>
      <c r="E905" s="15">
        <v>0</v>
      </c>
      <c r="F905">
        <f t="shared" ref="F905:F968" si="68" xml:space="preserve"> $K$5 + $K$6 * G904 ^ 2 + $K$7 * F904</f>
        <v>9724.0448742137269</v>
      </c>
      <c r="G905">
        <f t="shared" si="66"/>
        <v>0</v>
      </c>
      <c r="H905" t="e">
        <f t="shared" si="67"/>
        <v>#NUM!</v>
      </c>
    </row>
    <row r="906" spans="1:8" x14ac:dyDescent="0.2">
      <c r="A906" s="1">
        <v>41493</v>
      </c>
      <c r="B906">
        <v>443.66280890000002</v>
      </c>
      <c r="C906" s="2">
        <f t="shared" si="65"/>
        <v>-6.6029365487506779E-3</v>
      </c>
      <c r="D906">
        <v>-0.29114202621442409</v>
      </c>
      <c r="E906" s="15">
        <v>0</v>
      </c>
      <c r="F906">
        <f t="shared" si="68"/>
        <v>833.08468832368635</v>
      </c>
      <c r="G906">
        <f t="shared" si="66"/>
        <v>0</v>
      </c>
      <c r="H906" t="e">
        <f t="shared" si="67"/>
        <v>#NUM!</v>
      </c>
    </row>
    <row r="907" spans="1:8" x14ac:dyDescent="0.2">
      <c r="A907" s="1">
        <v>41494</v>
      </c>
      <c r="B907">
        <v>444.66406189999998</v>
      </c>
      <c r="C907" s="2">
        <f t="shared" si="65"/>
        <v>2.2567882182471634E-3</v>
      </c>
      <c r="D907">
        <v>-1.3417855376293391</v>
      </c>
      <c r="E907" s="15">
        <v>0</v>
      </c>
      <c r="F907">
        <f t="shared" si="68"/>
        <v>71.375287053771771</v>
      </c>
      <c r="G907">
        <f t="shared" si="66"/>
        <v>0</v>
      </c>
      <c r="H907" t="e">
        <f t="shared" si="67"/>
        <v>#NUM!</v>
      </c>
    </row>
    <row r="908" spans="1:8" x14ac:dyDescent="0.2">
      <c r="A908" s="1">
        <v>41495</v>
      </c>
      <c r="B908">
        <v>443.54324100000002</v>
      </c>
      <c r="C908" s="2">
        <f t="shared" si="65"/>
        <v>-2.5206014968037057E-3</v>
      </c>
      <c r="D908">
        <v>-2.1168976674122506</v>
      </c>
      <c r="E908" s="15">
        <v>1</v>
      </c>
      <c r="F908">
        <f t="shared" si="68"/>
        <v>6.1178570515824289</v>
      </c>
      <c r="G908">
        <f t="shared" si="66"/>
        <v>0.16345592771595449</v>
      </c>
      <c r="H908">
        <f t="shared" si="67"/>
        <v>-1399.2950779639493</v>
      </c>
    </row>
    <row r="909" spans="1:8" x14ac:dyDescent="0.2">
      <c r="A909" s="1">
        <v>41498</v>
      </c>
      <c r="B909">
        <v>441.1024104</v>
      </c>
      <c r="C909" s="2">
        <f t="shared" si="65"/>
        <v>-5.5030273812695218E-3</v>
      </c>
      <c r="D909">
        <v>1.1832199132817047</v>
      </c>
      <c r="E909" s="15">
        <v>0</v>
      </c>
      <c r="F909">
        <f t="shared" si="68"/>
        <v>0.53056901099062725</v>
      </c>
      <c r="G909">
        <f t="shared" si="66"/>
        <v>0</v>
      </c>
      <c r="H909" t="e">
        <f t="shared" si="67"/>
        <v>#NUM!</v>
      </c>
    </row>
    <row r="910" spans="1:8" x14ac:dyDescent="0.2">
      <c r="A910" s="1">
        <v>41499</v>
      </c>
      <c r="B910">
        <v>438.9803364</v>
      </c>
      <c r="C910" s="2">
        <f t="shared" si="65"/>
        <v>-4.8108419948910755E-3</v>
      </c>
      <c r="D910">
        <v>-0.12578265351439383</v>
      </c>
      <c r="E910" s="15">
        <v>1</v>
      </c>
      <c r="F910">
        <f t="shared" si="68"/>
        <v>4.8423983021151397E-2</v>
      </c>
      <c r="G910">
        <f t="shared" si="66"/>
        <v>20.650924141518967</v>
      </c>
      <c r="H910">
        <f t="shared" si="67"/>
        <v>-2.6298844812155724</v>
      </c>
    </row>
    <row r="911" spans="1:8" x14ac:dyDescent="0.2">
      <c r="A911" s="1">
        <v>41500</v>
      </c>
      <c r="B911">
        <v>433.28168790000001</v>
      </c>
      <c r="C911" s="2">
        <f t="shared" si="65"/>
        <v>-1.2981557549328058E-2</v>
      </c>
      <c r="D911">
        <v>1.698396156663212</v>
      </c>
      <c r="E911" s="15">
        <v>0</v>
      </c>
      <c r="F911">
        <f t="shared" si="68"/>
        <v>55.377484958948443</v>
      </c>
      <c r="G911">
        <f t="shared" si="66"/>
        <v>0</v>
      </c>
      <c r="H911" t="e">
        <f t="shared" si="67"/>
        <v>#NUM!</v>
      </c>
    </row>
    <row r="912" spans="1:8" x14ac:dyDescent="0.2">
      <c r="A912" s="1">
        <v>41501</v>
      </c>
      <c r="B912">
        <v>428.2256486</v>
      </c>
      <c r="C912" s="2">
        <f t="shared" si="65"/>
        <v>-1.1669173752773338E-2</v>
      </c>
      <c r="D912">
        <v>-0.10109601960842139</v>
      </c>
      <c r="E912" s="15">
        <v>0</v>
      </c>
      <c r="F912">
        <f t="shared" si="68"/>
        <v>4.7472878441506898</v>
      </c>
      <c r="G912">
        <f t="shared" si="66"/>
        <v>0</v>
      </c>
      <c r="H912" t="e">
        <f t="shared" si="67"/>
        <v>#NUM!</v>
      </c>
    </row>
    <row r="913" spans="1:8" x14ac:dyDescent="0.2">
      <c r="A913" s="1">
        <v>41502</v>
      </c>
      <c r="B913">
        <v>426.85577330000001</v>
      </c>
      <c r="C913" s="2">
        <f t="shared" si="65"/>
        <v>-3.1989566820168971E-3</v>
      </c>
      <c r="D913">
        <v>-0.72586262319929706</v>
      </c>
      <c r="E913" s="15">
        <v>0</v>
      </c>
      <c r="F913">
        <f t="shared" si="68"/>
        <v>0.40968017026932219</v>
      </c>
      <c r="G913">
        <f t="shared" si="66"/>
        <v>0</v>
      </c>
      <c r="H913" t="e">
        <f t="shared" si="67"/>
        <v>#NUM!</v>
      </c>
    </row>
    <row r="914" spans="1:8" x14ac:dyDescent="0.2">
      <c r="A914" s="1">
        <v>41505</v>
      </c>
      <c r="B914">
        <v>431.20944909999997</v>
      </c>
      <c r="C914" s="2">
        <f t="shared" si="65"/>
        <v>1.0199407088586196E-2</v>
      </c>
      <c r="D914">
        <v>-4.1883542362179202</v>
      </c>
      <c r="E914" s="15">
        <v>0</v>
      </c>
      <c r="F914">
        <f t="shared" si="68"/>
        <v>3.8067152649537118E-2</v>
      </c>
      <c r="G914">
        <f t="shared" si="66"/>
        <v>0</v>
      </c>
      <c r="H914" t="e">
        <f t="shared" si="67"/>
        <v>#NUM!</v>
      </c>
    </row>
    <row r="915" spans="1:8" x14ac:dyDescent="0.2">
      <c r="A915" s="1">
        <v>41506</v>
      </c>
      <c r="B915">
        <v>431.09488599999997</v>
      </c>
      <c r="C915" s="2">
        <f t="shared" si="65"/>
        <v>-2.6567854725611584E-4</v>
      </c>
      <c r="D915">
        <v>-1.026048430555677</v>
      </c>
      <c r="E915" s="15">
        <v>0</v>
      </c>
      <c r="F915">
        <f t="shared" si="68"/>
        <v>6.2301942966596748E-3</v>
      </c>
      <c r="G915">
        <f t="shared" si="66"/>
        <v>0</v>
      </c>
      <c r="H915" t="e">
        <f t="shared" si="67"/>
        <v>#NUM!</v>
      </c>
    </row>
    <row r="916" spans="1:8" x14ac:dyDescent="0.2">
      <c r="A916" s="1">
        <v>41507</v>
      </c>
      <c r="B916">
        <v>433.0425821</v>
      </c>
      <c r="C916" s="2">
        <f t="shared" si="65"/>
        <v>4.5180218166634206E-3</v>
      </c>
      <c r="D916">
        <v>-18.005595157474339</v>
      </c>
      <c r="E916" s="15">
        <v>1</v>
      </c>
      <c r="F916">
        <f t="shared" si="68"/>
        <v>3.5026474425289972E-3</v>
      </c>
      <c r="G916">
        <f t="shared" si="66"/>
        <v>285.49833130735408</v>
      </c>
      <c r="H916">
        <f t="shared" si="67"/>
        <v>-4.9112071485638058</v>
      </c>
    </row>
    <row r="917" spans="1:8" x14ac:dyDescent="0.2">
      <c r="A917" s="1">
        <v>41508</v>
      </c>
      <c r="B917">
        <v>435.2244096</v>
      </c>
      <c r="C917" s="2">
        <f t="shared" si="65"/>
        <v>5.0383671033444937E-3</v>
      </c>
      <c r="D917">
        <v>0.11517104338937223</v>
      </c>
      <c r="E917" s="15">
        <v>0</v>
      </c>
      <c r="F917">
        <f t="shared" si="68"/>
        <v>10582.924688979798</v>
      </c>
      <c r="G917">
        <f t="shared" si="66"/>
        <v>0</v>
      </c>
      <c r="H917" t="e">
        <f t="shared" si="67"/>
        <v>#NUM!</v>
      </c>
    </row>
    <row r="918" spans="1:8" x14ac:dyDescent="0.2">
      <c r="A918" s="1">
        <v>41509</v>
      </c>
      <c r="B918">
        <v>433.4809679</v>
      </c>
      <c r="C918" s="2">
        <f t="shared" si="65"/>
        <v>-4.0058454019211457E-3</v>
      </c>
      <c r="D918">
        <v>-1.7950681877193992</v>
      </c>
      <c r="E918" s="15">
        <v>1</v>
      </c>
      <c r="F918">
        <f t="shared" si="68"/>
        <v>906.66693543649217</v>
      </c>
      <c r="G918">
        <f t="shared" si="66"/>
        <v>1.1029408495177725E-3</v>
      </c>
      <c r="H918">
        <f t="shared" si="67"/>
        <v>-675757869914.84058</v>
      </c>
    </row>
    <row r="919" spans="1:8" x14ac:dyDescent="0.2">
      <c r="A919" s="1">
        <v>41512</v>
      </c>
      <c r="B919">
        <v>431.5780714</v>
      </c>
      <c r="C919" s="2">
        <f t="shared" si="65"/>
        <v>-4.3898040304251084E-3</v>
      </c>
      <c r="D919">
        <v>9.5849587285575619E-2</v>
      </c>
      <c r="E919" s="15">
        <v>1</v>
      </c>
      <c r="F919">
        <f t="shared" si="68"/>
        <v>77.679250813008025</v>
      </c>
      <c r="G919">
        <f t="shared" si="66"/>
        <v>1.287345062592367E-2</v>
      </c>
      <c r="H919">
        <f t="shared" si="67"/>
        <v>-36409948.79465653</v>
      </c>
    </row>
    <row r="920" spans="1:8" x14ac:dyDescent="0.2">
      <c r="A920" s="1">
        <v>41513</v>
      </c>
      <c r="B920">
        <v>423.48839700000002</v>
      </c>
      <c r="C920" s="2">
        <f t="shared" si="65"/>
        <v>-1.8744405557395007E-2</v>
      </c>
      <c r="D920">
        <v>3.2699868667212009</v>
      </c>
      <c r="E920" s="15">
        <v>0</v>
      </c>
      <c r="F920">
        <f t="shared" si="68"/>
        <v>6.6579539218860404</v>
      </c>
      <c r="G920">
        <f t="shared" si="66"/>
        <v>0</v>
      </c>
      <c r="H920" t="e">
        <f t="shared" si="67"/>
        <v>#NUM!</v>
      </c>
    </row>
    <row r="921" spans="1:8" x14ac:dyDescent="0.2">
      <c r="A921" s="1">
        <v>41514</v>
      </c>
      <c r="B921">
        <v>422.69136800000001</v>
      </c>
      <c r="C921" s="2">
        <f t="shared" si="65"/>
        <v>-1.882056286892812E-3</v>
      </c>
      <c r="D921">
        <v>-0.89959370644590508</v>
      </c>
      <c r="E921" s="15">
        <v>0</v>
      </c>
      <c r="F921">
        <f t="shared" si="68"/>
        <v>0.5733714121228406</v>
      </c>
      <c r="G921">
        <f t="shared" si="66"/>
        <v>0</v>
      </c>
      <c r="H921" t="e">
        <f t="shared" si="67"/>
        <v>#NUM!</v>
      </c>
    </row>
    <row r="922" spans="1:8" x14ac:dyDescent="0.2">
      <c r="A922" s="1">
        <v>41515</v>
      </c>
      <c r="B922">
        <v>426.11852859999999</v>
      </c>
      <c r="C922" s="2">
        <f t="shared" si="65"/>
        <v>8.1079502905769749E-3</v>
      </c>
      <c r="D922">
        <v>-5.3080275266170842</v>
      </c>
      <c r="E922" s="15">
        <v>0</v>
      </c>
      <c r="F922">
        <f t="shared" si="68"/>
        <v>5.2090965063324293E-2</v>
      </c>
      <c r="G922">
        <f t="shared" si="66"/>
        <v>0</v>
      </c>
      <c r="H922" t="e">
        <f t="shared" si="67"/>
        <v>#NUM!</v>
      </c>
    </row>
    <row r="923" spans="1:8" x14ac:dyDescent="0.2">
      <c r="A923" s="1">
        <v>41516</v>
      </c>
      <c r="B923">
        <v>421.86946719999997</v>
      </c>
      <c r="C923" s="2">
        <f t="shared" si="65"/>
        <v>-9.9715480900588477E-3</v>
      </c>
      <c r="D923">
        <v>-2.2298482024054511</v>
      </c>
      <c r="E923" s="15">
        <v>0</v>
      </c>
      <c r="F923">
        <f t="shared" si="68"/>
        <v>7.4316471807002391E-3</v>
      </c>
      <c r="G923">
        <f t="shared" si="66"/>
        <v>0</v>
      </c>
      <c r="H923" t="e">
        <f t="shared" si="67"/>
        <v>#NUM!</v>
      </c>
    </row>
    <row r="924" spans="1:8" x14ac:dyDescent="0.2">
      <c r="A924" s="1">
        <v>41520</v>
      </c>
      <c r="B924">
        <v>428.58429189999998</v>
      </c>
      <c r="C924" s="2">
        <f t="shared" si="65"/>
        <v>1.591683025692078E-2</v>
      </c>
      <c r="D924">
        <v>-2.5962245895187621</v>
      </c>
      <c r="E924" s="15">
        <v>0</v>
      </c>
      <c r="F924">
        <f t="shared" si="68"/>
        <v>3.6055787275446369E-3</v>
      </c>
      <c r="G924">
        <f t="shared" si="66"/>
        <v>0</v>
      </c>
      <c r="H924" t="e">
        <f t="shared" si="67"/>
        <v>#NUM!</v>
      </c>
    </row>
    <row r="925" spans="1:8" x14ac:dyDescent="0.2">
      <c r="A925" s="1">
        <v>41521</v>
      </c>
      <c r="B925">
        <v>434.18830559999998</v>
      </c>
      <c r="C925" s="2">
        <f t="shared" si="65"/>
        <v>1.307563950875633E-2</v>
      </c>
      <c r="D925">
        <v>-0.17850229614210242</v>
      </c>
      <c r="E925" s="15">
        <v>0</v>
      </c>
      <c r="F925">
        <f t="shared" si="68"/>
        <v>3.2777904741121289E-3</v>
      </c>
      <c r="G925">
        <f t="shared" si="66"/>
        <v>0</v>
      </c>
      <c r="H925" t="e">
        <f t="shared" si="67"/>
        <v>#NUM!</v>
      </c>
    </row>
    <row r="926" spans="1:8" x14ac:dyDescent="0.2">
      <c r="A926" s="1">
        <v>41522</v>
      </c>
      <c r="B926">
        <v>438.13850780000001</v>
      </c>
      <c r="C926" s="2">
        <f t="shared" si="65"/>
        <v>9.0979009546129867E-3</v>
      </c>
      <c r="D926">
        <v>-0.30420986686575302</v>
      </c>
      <c r="E926" s="15">
        <v>0</v>
      </c>
      <c r="F926">
        <f t="shared" si="68"/>
        <v>3.2497080860409699E-3</v>
      </c>
      <c r="G926">
        <f t="shared" si="66"/>
        <v>0</v>
      </c>
      <c r="H926" t="e">
        <f t="shared" si="67"/>
        <v>#NUM!</v>
      </c>
    </row>
    <row r="927" spans="1:8" x14ac:dyDescent="0.2">
      <c r="A927" s="1">
        <v>41523</v>
      </c>
      <c r="B927">
        <v>438.14845650000001</v>
      </c>
      <c r="C927" s="2">
        <f t="shared" si="65"/>
        <v>2.2706746434934952E-5</v>
      </c>
      <c r="D927">
        <v>-0.99750417744178432</v>
      </c>
      <c r="E927" s="15">
        <v>1</v>
      </c>
      <c r="F927">
        <f t="shared" si="68"/>
        <v>3.2473022020243192E-3</v>
      </c>
      <c r="G927">
        <f t="shared" si="66"/>
        <v>307.94793271060979</v>
      </c>
      <c r="H927">
        <f t="shared" si="67"/>
        <v>-4.9769545860471123</v>
      </c>
    </row>
    <row r="928" spans="1:8" x14ac:dyDescent="0.2">
      <c r="A928" s="1">
        <v>41526</v>
      </c>
      <c r="B928">
        <v>442.36767140000001</v>
      </c>
      <c r="C928" s="2">
        <f t="shared" si="65"/>
        <v>9.6296468409446442E-3</v>
      </c>
      <c r="D928">
        <v>423.08747851824199</v>
      </c>
      <c r="E928" s="15">
        <v>0</v>
      </c>
      <c r="F928">
        <f t="shared" si="68"/>
        <v>12312.695052874455</v>
      </c>
      <c r="G928">
        <f t="shared" si="66"/>
        <v>0</v>
      </c>
      <c r="H928" t="e">
        <f t="shared" si="67"/>
        <v>#NUM!</v>
      </c>
    </row>
    <row r="929" spans="1:8" x14ac:dyDescent="0.2">
      <c r="A929" s="1">
        <v>41527</v>
      </c>
      <c r="B929">
        <v>442.67650980000002</v>
      </c>
      <c r="C929" s="2">
        <f t="shared" si="65"/>
        <v>6.9814866674728997E-4</v>
      </c>
      <c r="D929">
        <v>-0.92750007572668125</v>
      </c>
      <c r="E929" s="15">
        <v>1</v>
      </c>
      <c r="F929">
        <f t="shared" si="68"/>
        <v>1054.8604174304444</v>
      </c>
      <c r="G929">
        <f t="shared" si="66"/>
        <v>9.479927234694426E-4</v>
      </c>
      <c r="H929">
        <f t="shared" si="67"/>
        <v>-1238169166206.2314</v>
      </c>
    </row>
    <row r="930" spans="1:8" x14ac:dyDescent="0.2">
      <c r="A930" s="1">
        <v>41528</v>
      </c>
      <c r="B930">
        <v>446.42245750000001</v>
      </c>
      <c r="C930" s="2">
        <f t="shared" si="65"/>
        <v>8.4620430880608423E-3</v>
      </c>
      <c r="D930">
        <v>11.120689318918176</v>
      </c>
      <c r="E930" s="15">
        <v>0</v>
      </c>
      <c r="F930">
        <f t="shared" si="68"/>
        <v>90.375333768593777</v>
      </c>
      <c r="G930">
        <f t="shared" si="66"/>
        <v>0</v>
      </c>
      <c r="H930" t="e">
        <f t="shared" si="67"/>
        <v>#NUM!</v>
      </c>
    </row>
    <row r="931" spans="1:8" x14ac:dyDescent="0.2">
      <c r="A931" s="1">
        <v>41529</v>
      </c>
      <c r="B931">
        <v>444.86331159999997</v>
      </c>
      <c r="C931" s="2">
        <f t="shared" si="65"/>
        <v>-3.4925346469605704E-3</v>
      </c>
      <c r="D931">
        <v>-1.4127294804121493</v>
      </c>
      <c r="E931" s="15">
        <v>1</v>
      </c>
      <c r="F931">
        <f t="shared" si="68"/>
        <v>7.7456355934563836</v>
      </c>
      <c r="G931">
        <f t="shared" si="66"/>
        <v>0.12910496342544353</v>
      </c>
      <c r="H931">
        <f t="shared" si="67"/>
        <v>-3597.6064017814288</v>
      </c>
    </row>
    <row r="932" spans="1:8" x14ac:dyDescent="0.2">
      <c r="A932" s="1">
        <v>41530</v>
      </c>
      <c r="B932">
        <v>442.87575939999999</v>
      </c>
      <c r="C932" s="2">
        <f t="shared" si="65"/>
        <v>-4.4677817841429343E-3</v>
      </c>
      <c r="D932">
        <v>0.27923764135914497</v>
      </c>
      <c r="E932" s="15">
        <v>0</v>
      </c>
      <c r="F932">
        <f t="shared" si="68"/>
        <v>0.66871978542590438</v>
      </c>
      <c r="G932">
        <f t="shared" si="66"/>
        <v>0</v>
      </c>
      <c r="H932" t="e">
        <f t="shared" si="67"/>
        <v>#NUM!</v>
      </c>
    </row>
    <row r="933" spans="1:8" x14ac:dyDescent="0.2">
      <c r="A933" s="1">
        <v>41533</v>
      </c>
      <c r="B933">
        <v>442.22320089999999</v>
      </c>
      <c r="C933" s="2">
        <f t="shared" si="65"/>
        <v>-1.4734572533029854E-3</v>
      </c>
      <c r="D933">
        <v>-0.6702038451088671</v>
      </c>
      <c r="E933" s="15">
        <v>1</v>
      </c>
      <c r="F933">
        <f t="shared" si="68"/>
        <v>6.0259683719380959E-2</v>
      </c>
      <c r="G933">
        <f t="shared" si="66"/>
        <v>16.594843156775084</v>
      </c>
      <c r="H933">
        <f t="shared" si="67"/>
        <v>-2.439959490040629</v>
      </c>
    </row>
    <row r="934" spans="1:8" x14ac:dyDescent="0.2">
      <c r="A934" s="1">
        <v>41534</v>
      </c>
      <c r="B934">
        <v>441.4012697</v>
      </c>
      <c r="C934" s="2">
        <f t="shared" si="65"/>
        <v>-1.8586342786340105E-3</v>
      </c>
      <c r="D934">
        <v>0.26141038327891114</v>
      </c>
      <c r="E934" s="15">
        <v>0</v>
      </c>
      <c r="F934">
        <f t="shared" si="68"/>
        <v>35.763785577522107</v>
      </c>
      <c r="G934">
        <f t="shared" si="66"/>
        <v>0</v>
      </c>
      <c r="H934" t="e">
        <f t="shared" si="67"/>
        <v>#NUM!</v>
      </c>
    </row>
    <row r="935" spans="1:8" x14ac:dyDescent="0.2">
      <c r="A935" s="1">
        <v>41535</v>
      </c>
      <c r="B935">
        <v>449.97416040000002</v>
      </c>
      <c r="C935" s="2">
        <f t="shared" si="65"/>
        <v>1.9421989215904642E-2</v>
      </c>
      <c r="D935">
        <v>-11.449602398476525</v>
      </c>
      <c r="E935" s="15">
        <v>0</v>
      </c>
      <c r="F935">
        <f t="shared" si="68"/>
        <v>3.0669362398072084</v>
      </c>
      <c r="G935">
        <f t="shared" si="66"/>
        <v>0</v>
      </c>
      <c r="H935" t="e">
        <f t="shared" si="67"/>
        <v>#NUM!</v>
      </c>
    </row>
    <row r="936" spans="1:8" x14ac:dyDescent="0.2">
      <c r="A936" s="1">
        <v>41536</v>
      </c>
      <c r="B936">
        <v>447.5183758</v>
      </c>
      <c r="C936" s="2">
        <f t="shared" si="65"/>
        <v>-5.4576124944973959E-3</v>
      </c>
      <c r="D936">
        <v>-1.2810017261274229</v>
      </c>
      <c r="E936" s="15">
        <v>0</v>
      </c>
      <c r="F936">
        <f t="shared" si="68"/>
        <v>0.26572050925332996</v>
      </c>
      <c r="G936">
        <f t="shared" si="66"/>
        <v>0</v>
      </c>
      <c r="H936" t="e">
        <f t="shared" si="67"/>
        <v>#NUM!</v>
      </c>
    </row>
    <row r="937" spans="1:8" x14ac:dyDescent="0.2">
      <c r="A937" s="1">
        <v>41537</v>
      </c>
      <c r="B937">
        <v>449.86954600000001</v>
      </c>
      <c r="C937" s="2">
        <f t="shared" si="65"/>
        <v>5.2537958822293637E-3</v>
      </c>
      <c r="D937">
        <v>-1.9626546200424584</v>
      </c>
      <c r="E937" s="15">
        <v>0</v>
      </c>
      <c r="F937">
        <f t="shared" si="68"/>
        <v>2.5733791020774621E-2</v>
      </c>
      <c r="G937">
        <f t="shared" si="66"/>
        <v>0</v>
      </c>
      <c r="H937" t="e">
        <f t="shared" si="67"/>
        <v>#NUM!</v>
      </c>
    </row>
    <row r="938" spans="1:8" x14ac:dyDescent="0.2">
      <c r="A938" s="1">
        <v>41540</v>
      </c>
      <c r="B938">
        <v>441.59554500000002</v>
      </c>
      <c r="C938" s="2">
        <f t="shared" si="65"/>
        <v>-1.8392000689017519E-2</v>
      </c>
      <c r="D938">
        <v>-4.5007071270559464</v>
      </c>
      <c r="E938" s="15">
        <v>0</v>
      </c>
      <c r="F938">
        <f t="shared" si="68"/>
        <v>5.17356629411851E-3</v>
      </c>
      <c r="G938">
        <f t="shared" si="66"/>
        <v>0</v>
      </c>
      <c r="H938" t="e">
        <f t="shared" si="67"/>
        <v>#NUM!</v>
      </c>
    </row>
    <row r="939" spans="1:8" x14ac:dyDescent="0.2">
      <c r="A939" s="1">
        <v>41541</v>
      </c>
      <c r="B939">
        <v>441.76491759999999</v>
      </c>
      <c r="C939" s="2">
        <f t="shared" si="65"/>
        <v>3.8354689470423487E-4</v>
      </c>
      <c r="D939">
        <v>-1.0208540061078435</v>
      </c>
      <c r="E939" s="15">
        <v>0</v>
      </c>
      <c r="F939">
        <f t="shared" si="68"/>
        <v>3.4121236446091794E-3</v>
      </c>
      <c r="G939">
        <f t="shared" si="66"/>
        <v>0</v>
      </c>
      <c r="H939" t="e">
        <f t="shared" si="67"/>
        <v>#NUM!</v>
      </c>
    </row>
    <row r="940" spans="1:8" x14ac:dyDescent="0.2">
      <c r="A940" s="1">
        <v>41542</v>
      </c>
      <c r="B940">
        <v>436.97786120000001</v>
      </c>
      <c r="C940" s="2">
        <f t="shared" si="65"/>
        <v>-1.0836207696181223E-2</v>
      </c>
      <c r="D940">
        <v>-29.25262789452999</v>
      </c>
      <c r="E940" s="15">
        <v>0</v>
      </c>
      <c r="F940">
        <f t="shared" si="68"/>
        <v>3.2612167236606036E-3</v>
      </c>
      <c r="G940">
        <f t="shared" si="66"/>
        <v>0</v>
      </c>
      <c r="H940" t="e">
        <f t="shared" si="67"/>
        <v>#NUM!</v>
      </c>
    </row>
    <row r="941" spans="1:8" x14ac:dyDescent="0.2">
      <c r="A941" s="1">
        <v>41543</v>
      </c>
      <c r="B941">
        <v>437.44609309999998</v>
      </c>
      <c r="C941" s="2">
        <f t="shared" si="65"/>
        <v>1.0715231630136824E-3</v>
      </c>
      <c r="D941">
        <v>-1.0988835940631976</v>
      </c>
      <c r="E941" s="15">
        <v>0</v>
      </c>
      <c r="F941">
        <f t="shared" si="68"/>
        <v>3.2482881739876843E-3</v>
      </c>
      <c r="G941">
        <f t="shared" si="66"/>
        <v>0</v>
      </c>
      <c r="H941" t="e">
        <f t="shared" si="67"/>
        <v>#NUM!</v>
      </c>
    </row>
    <row r="942" spans="1:8" x14ac:dyDescent="0.2">
      <c r="A942" s="1">
        <v>41544</v>
      </c>
      <c r="B942">
        <v>436.55943409999998</v>
      </c>
      <c r="C942" s="2">
        <f t="shared" si="65"/>
        <v>-2.0268988887673501E-3</v>
      </c>
      <c r="D942">
        <v>-2.8916052949024942</v>
      </c>
      <c r="E942" s="15">
        <v>0</v>
      </c>
      <c r="F942">
        <f t="shared" si="68"/>
        <v>3.2471805548301633E-3</v>
      </c>
      <c r="G942">
        <f t="shared" si="66"/>
        <v>0</v>
      </c>
      <c r="H942" t="e">
        <f t="shared" si="67"/>
        <v>#NUM!</v>
      </c>
    </row>
    <row r="943" spans="1:8" x14ac:dyDescent="0.2">
      <c r="A943" s="1">
        <v>41547</v>
      </c>
      <c r="B943">
        <v>436.32032830000003</v>
      </c>
      <c r="C943" s="2">
        <f t="shared" si="65"/>
        <v>-5.4770503469449023E-4</v>
      </c>
      <c r="D943">
        <v>-0.72978176773900416</v>
      </c>
      <c r="E943" s="15">
        <v>0</v>
      </c>
      <c r="F943">
        <f t="shared" si="68"/>
        <v>3.2470856625004632E-3</v>
      </c>
      <c r="G943">
        <f t="shared" si="66"/>
        <v>0</v>
      </c>
      <c r="H943" t="e">
        <f t="shared" si="67"/>
        <v>#NUM!</v>
      </c>
    </row>
    <row r="944" spans="1:8" x14ac:dyDescent="0.2">
      <c r="A944" s="1">
        <v>41548</v>
      </c>
      <c r="B944">
        <v>441.84462989999997</v>
      </c>
      <c r="C944" s="2">
        <f t="shared" si="65"/>
        <v>1.2661114419132931E-2</v>
      </c>
      <c r="D944">
        <v>-24.116666119739612</v>
      </c>
      <c r="E944" s="15">
        <v>0</v>
      </c>
      <c r="F944">
        <f t="shared" si="68"/>
        <v>3.2470775328521315E-3</v>
      </c>
      <c r="G944">
        <f t="shared" si="66"/>
        <v>0</v>
      </c>
      <c r="H944" t="e">
        <f t="shared" si="67"/>
        <v>#NUM!</v>
      </c>
    </row>
    <row r="945" spans="1:8" x14ac:dyDescent="0.2">
      <c r="A945" s="1">
        <v>41549</v>
      </c>
      <c r="B945">
        <v>442.33776399999999</v>
      </c>
      <c r="C945" s="2">
        <f t="shared" si="65"/>
        <v>1.1160803292135253E-3</v>
      </c>
      <c r="D945">
        <v>-0.91184975569552129</v>
      </c>
      <c r="E945" s="15">
        <v>0</v>
      </c>
      <c r="F945">
        <f t="shared" si="68"/>
        <v>3.2470768363661016E-3</v>
      </c>
      <c r="G945">
        <f t="shared" si="66"/>
        <v>0</v>
      </c>
      <c r="H945" t="e">
        <f t="shared" si="67"/>
        <v>#NUM!</v>
      </c>
    </row>
    <row r="946" spans="1:8" x14ac:dyDescent="0.2">
      <c r="A946" s="1">
        <v>41550</v>
      </c>
      <c r="B946">
        <v>436.40998919999998</v>
      </c>
      <c r="C946" s="2">
        <f t="shared" si="65"/>
        <v>-1.3401014524276542E-2</v>
      </c>
      <c r="D946">
        <v>-13.007213256522414</v>
      </c>
      <c r="E946" s="15">
        <v>0</v>
      </c>
      <c r="F946">
        <f t="shared" si="68"/>
        <v>3.2470767766965107E-3</v>
      </c>
      <c r="G946">
        <f t="shared" si="66"/>
        <v>0</v>
      </c>
      <c r="H946" t="e">
        <f t="shared" si="67"/>
        <v>#NUM!</v>
      </c>
    </row>
    <row r="947" spans="1:8" x14ac:dyDescent="0.2">
      <c r="A947" s="1">
        <v>41551</v>
      </c>
      <c r="B947">
        <v>434.54694890000002</v>
      </c>
      <c r="C947" s="2">
        <f t="shared" si="65"/>
        <v>-4.2690138771002408E-3</v>
      </c>
      <c r="D947">
        <v>-0.68144099318997609</v>
      </c>
      <c r="E947" s="15">
        <v>1</v>
      </c>
      <c r="F947">
        <f t="shared" si="68"/>
        <v>3.2470767715844771E-3</v>
      </c>
      <c r="G947">
        <f t="shared" si="66"/>
        <v>307.96931219831606</v>
      </c>
      <c r="H947">
        <f t="shared" si="67"/>
        <v>-4.9770148863138273</v>
      </c>
    </row>
    <row r="948" spans="1:8" x14ac:dyDescent="0.2">
      <c r="A948" s="1">
        <v>41554</v>
      </c>
      <c r="B948">
        <v>431.25430999999998</v>
      </c>
      <c r="C948" s="2">
        <f t="shared" si="65"/>
        <v>-7.5771764324543906E-3</v>
      </c>
      <c r="D948">
        <v>0.774924291790132</v>
      </c>
      <c r="E948" s="15">
        <v>1</v>
      </c>
      <c r="F948">
        <f t="shared" si="68"/>
        <v>12314.404745649945</v>
      </c>
      <c r="G948">
        <f t="shared" si="66"/>
        <v>8.120571157556352E-5</v>
      </c>
      <c r="H948">
        <f t="shared" si="67"/>
        <v>-2.2996073863444208E+16</v>
      </c>
    </row>
    <row r="949" spans="1:8" x14ac:dyDescent="0.2">
      <c r="A949" s="1">
        <v>41555</v>
      </c>
      <c r="B949">
        <v>425.24181829999998</v>
      </c>
      <c r="C949" s="2">
        <f t="shared" si="65"/>
        <v>-1.3941870401248856E-2</v>
      </c>
      <c r="D949">
        <v>0.83998228436827105</v>
      </c>
      <c r="E949" s="15">
        <v>0</v>
      </c>
      <c r="F949">
        <f t="shared" si="68"/>
        <v>1055.00689081923</v>
      </c>
      <c r="G949">
        <f t="shared" si="66"/>
        <v>0</v>
      </c>
      <c r="H949" t="e">
        <f t="shared" si="67"/>
        <v>#NUM!</v>
      </c>
    </row>
    <row r="950" spans="1:8" x14ac:dyDescent="0.2">
      <c r="A950" s="1">
        <v>41556</v>
      </c>
      <c r="B950">
        <v>426.33273179999998</v>
      </c>
      <c r="C950" s="2">
        <f t="shared" si="65"/>
        <v>2.5653956244500405E-3</v>
      </c>
      <c r="D950">
        <v>-1.1840065608571604</v>
      </c>
      <c r="E950" s="15">
        <v>1</v>
      </c>
      <c r="F950">
        <f t="shared" si="68"/>
        <v>90.387882370490004</v>
      </c>
      <c r="G950">
        <f t="shared" si="66"/>
        <v>1.1063429895404672E-2</v>
      </c>
      <c r="H950">
        <f t="shared" si="67"/>
        <v>-66748394.114471257</v>
      </c>
    </row>
    <row r="951" spans="1:8" x14ac:dyDescent="0.2">
      <c r="A951" s="1">
        <v>41557</v>
      </c>
      <c r="B951">
        <v>432.49964319999998</v>
      </c>
      <c r="C951" s="2">
        <f t="shared" si="65"/>
        <v>1.4465019783873897E-2</v>
      </c>
      <c r="D951">
        <v>4.6385142494249214</v>
      </c>
      <c r="E951" s="15">
        <v>0</v>
      </c>
      <c r="F951">
        <f t="shared" si="68"/>
        <v>7.7467265535768268</v>
      </c>
      <c r="G951">
        <f t="shared" si="66"/>
        <v>0</v>
      </c>
      <c r="H951" t="e">
        <f t="shared" si="67"/>
        <v>#NUM!</v>
      </c>
    </row>
    <row r="952" spans="1:8" x14ac:dyDescent="0.2">
      <c r="A952" s="1">
        <v>41558</v>
      </c>
      <c r="B952">
        <v>434.36762700000003</v>
      </c>
      <c r="C952" s="2">
        <f t="shared" si="65"/>
        <v>4.3190412509455855E-3</v>
      </c>
      <c r="D952">
        <v>-0.70141477056529145</v>
      </c>
      <c r="E952" s="15">
        <v>1</v>
      </c>
      <c r="F952">
        <f t="shared" si="68"/>
        <v>0.6666491157751866</v>
      </c>
      <c r="G952">
        <f t="shared" si="66"/>
        <v>1.5000394905454715</v>
      </c>
      <c r="H952">
        <f t="shared" si="67"/>
        <v>-0.54971544914070458</v>
      </c>
    </row>
    <row r="953" spans="1:8" x14ac:dyDescent="0.2">
      <c r="A953" s="1">
        <v>41561</v>
      </c>
      <c r="B953">
        <v>436.41993789999998</v>
      </c>
      <c r="C953" s="2">
        <f t="shared" si="65"/>
        <v>4.7248247162764547E-3</v>
      </c>
      <c r="D953">
        <v>9.3952208778286E-2</v>
      </c>
      <c r="E953" s="15">
        <v>1</v>
      </c>
      <c r="F953">
        <f t="shared" si="68"/>
        <v>0.35223088373299355</v>
      </c>
      <c r="G953">
        <f t="shared" si="66"/>
        <v>2.8390469041267936</v>
      </c>
      <c r="H953">
        <f t="shared" si="67"/>
        <v>-0.92173765530765261</v>
      </c>
    </row>
    <row r="954" spans="1:8" x14ac:dyDescent="0.2">
      <c r="A954" s="1">
        <v>41562</v>
      </c>
      <c r="B954">
        <v>439.35893829999998</v>
      </c>
      <c r="C954" s="2">
        <f t="shared" si="65"/>
        <v>6.7343403560848128E-3</v>
      </c>
      <c r="D954">
        <v>0.42531009306775291</v>
      </c>
      <c r="E954" s="15">
        <v>1</v>
      </c>
      <c r="F954">
        <f t="shared" si="68"/>
        <v>1.079655760711655</v>
      </c>
      <c r="G954">
        <f t="shared" si="66"/>
        <v>0.92622114973095693</v>
      </c>
      <c r="H954">
        <f t="shared" si="67"/>
        <v>-1.2921846069645093</v>
      </c>
    </row>
    <row r="955" spans="1:8" x14ac:dyDescent="0.2">
      <c r="A955" s="1">
        <v>41563</v>
      </c>
      <c r="B955">
        <v>447.33902399999999</v>
      </c>
      <c r="C955" s="2">
        <f t="shared" si="65"/>
        <v>1.8163021175527132E-2</v>
      </c>
      <c r="D955">
        <v>1.6970750237053189</v>
      </c>
      <c r="E955" s="15">
        <v>0</v>
      </c>
      <c r="F955">
        <f t="shared" si="68"/>
        <v>0.20685081444010778</v>
      </c>
      <c r="G955">
        <f t="shared" si="66"/>
        <v>0</v>
      </c>
      <c r="H955" t="e">
        <f t="shared" si="67"/>
        <v>#NUM!</v>
      </c>
    </row>
    <row r="956" spans="1:8" x14ac:dyDescent="0.2">
      <c r="A956" s="1">
        <v>41564</v>
      </c>
      <c r="B956">
        <v>442.73626330000002</v>
      </c>
      <c r="C956" s="2">
        <f t="shared" si="65"/>
        <v>-1.0289200031875547E-2</v>
      </c>
      <c r="D956">
        <v>-1.5664916608553661</v>
      </c>
      <c r="E956" s="15">
        <v>0</v>
      </c>
      <c r="F956">
        <f t="shared" si="68"/>
        <v>2.0690286264079646E-2</v>
      </c>
      <c r="G956">
        <f t="shared" si="66"/>
        <v>0</v>
      </c>
      <c r="H956" t="e">
        <f t="shared" si="67"/>
        <v>#NUM!</v>
      </c>
    </row>
    <row r="957" spans="1:8" x14ac:dyDescent="0.2">
      <c r="A957" s="1">
        <v>41565</v>
      </c>
      <c r="B957">
        <v>503.81742259999999</v>
      </c>
      <c r="C957" s="2">
        <f t="shared" si="65"/>
        <v>0.13796285591047489</v>
      </c>
      <c r="D957">
        <v>-14.408511398657938</v>
      </c>
      <c r="E957" s="15">
        <v>0</v>
      </c>
      <c r="F957">
        <f t="shared" si="68"/>
        <v>4.7414774186536465E-3</v>
      </c>
      <c r="G957">
        <f t="shared" si="66"/>
        <v>0</v>
      </c>
      <c r="H957" t="e">
        <f t="shared" si="67"/>
        <v>#NUM!</v>
      </c>
    </row>
    <row r="958" spans="1:8" x14ac:dyDescent="0.2">
      <c r="A958" s="1">
        <v>41568</v>
      </c>
      <c r="B958">
        <v>499.77755999999999</v>
      </c>
      <c r="C958" s="2">
        <f t="shared" si="65"/>
        <v>-8.0185051544106566E-3</v>
      </c>
      <c r="D958">
        <v>-1.0581207536006207</v>
      </c>
      <c r="E958" s="15">
        <v>0</v>
      </c>
      <c r="F958">
        <f t="shared" si="68"/>
        <v>3.3751055777475085E-3</v>
      </c>
      <c r="G958">
        <f t="shared" si="66"/>
        <v>0</v>
      </c>
      <c r="H958" t="e">
        <f t="shared" si="67"/>
        <v>#NUM!</v>
      </c>
    </row>
    <row r="959" spans="1:8" x14ac:dyDescent="0.2">
      <c r="A959" s="1">
        <v>41569</v>
      </c>
      <c r="B959">
        <v>501.62067209999998</v>
      </c>
      <c r="C959" s="2">
        <f t="shared" si="65"/>
        <v>3.6878648573176933E-3</v>
      </c>
      <c r="D959">
        <v>-1.4599192475781035</v>
      </c>
      <c r="E959" s="15">
        <v>1</v>
      </c>
      <c r="F959">
        <f t="shared" si="68"/>
        <v>3.2580452990949955E-3</v>
      </c>
      <c r="G959">
        <f t="shared" si="66"/>
        <v>306.93250344854789</v>
      </c>
      <c r="H959">
        <f t="shared" si="67"/>
        <v>-4.9740857634272242</v>
      </c>
    </row>
    <row r="960" spans="1:8" x14ac:dyDescent="0.2">
      <c r="A960" s="1">
        <v>41570</v>
      </c>
      <c r="B960">
        <v>513.78011700000002</v>
      </c>
      <c r="C960" s="2">
        <f t="shared" si="65"/>
        <v>2.4240318583951835E-2</v>
      </c>
      <c r="D960">
        <v>5.5729953568804644</v>
      </c>
      <c r="E960" s="15">
        <v>0</v>
      </c>
      <c r="F960">
        <f t="shared" si="68"/>
        <v>12231.629048506404</v>
      </c>
      <c r="G960">
        <f t="shared" si="66"/>
        <v>0</v>
      </c>
      <c r="H960" t="e">
        <f t="shared" si="67"/>
        <v>#NUM!</v>
      </c>
    </row>
    <row r="961" spans="1:8" x14ac:dyDescent="0.2">
      <c r="A961" s="1">
        <v>41571</v>
      </c>
      <c r="B961">
        <v>510.86104440000003</v>
      </c>
      <c r="C961" s="2">
        <f t="shared" si="65"/>
        <v>-5.6815600748520061E-3</v>
      </c>
      <c r="D961">
        <v>-1.234384711371469</v>
      </c>
      <c r="E961" s="15">
        <v>1</v>
      </c>
      <c r="F961">
        <f t="shared" si="68"/>
        <v>1047.9153028017085</v>
      </c>
      <c r="G961">
        <f t="shared" si="66"/>
        <v>9.5427559586771745E-4</v>
      </c>
      <c r="H961">
        <f t="shared" si="67"/>
        <v>-1205881770125.425</v>
      </c>
    </row>
    <row r="962" spans="1:8" x14ac:dyDescent="0.2">
      <c r="A962" s="1">
        <v>41572</v>
      </c>
      <c r="B962">
        <v>505.70536559999999</v>
      </c>
      <c r="C962" s="2">
        <f t="shared" si="65"/>
        <v>-1.0092135339963754E-2</v>
      </c>
      <c r="D962">
        <v>0.77629651134624933</v>
      </c>
      <c r="E962" s="15">
        <v>0</v>
      </c>
      <c r="F962">
        <f t="shared" si="68"/>
        <v>89.780329519198546</v>
      </c>
      <c r="G962">
        <f t="shared" si="66"/>
        <v>0</v>
      </c>
      <c r="H962" t="e">
        <f t="shared" si="67"/>
        <v>#NUM!</v>
      </c>
    </row>
    <row r="963" spans="1:8" x14ac:dyDescent="0.2">
      <c r="A963" s="1">
        <v>41575</v>
      </c>
      <c r="B963">
        <v>505.60572509999997</v>
      </c>
      <c r="C963" s="2">
        <f t="shared" si="65"/>
        <v>-1.9703271267806555E-4</v>
      </c>
      <c r="D963">
        <v>-0.98047660816657523</v>
      </c>
      <c r="E963" s="15">
        <v>0</v>
      </c>
      <c r="F963">
        <f t="shared" si="68"/>
        <v>7.6946601846046878</v>
      </c>
      <c r="G963">
        <f t="shared" si="66"/>
        <v>0</v>
      </c>
      <c r="H963" t="e">
        <f t="shared" si="67"/>
        <v>#NUM!</v>
      </c>
    </row>
    <row r="964" spans="1:8" x14ac:dyDescent="0.2">
      <c r="A964" s="1">
        <v>41576</v>
      </c>
      <c r="B964">
        <v>516.18606590000002</v>
      </c>
      <c r="C964" s="2">
        <f t="shared" ref="C964:C1027" si="69">(B964-B963)/B963</f>
        <v>2.0926070008221203E-2</v>
      </c>
      <c r="D964">
        <v>-107.20606966119679</v>
      </c>
      <c r="E964" s="15">
        <v>0</v>
      </c>
      <c r="F964">
        <f t="shared" si="68"/>
        <v>0.66218846789161989</v>
      </c>
      <c r="G964">
        <f t="shared" si="66"/>
        <v>0</v>
      </c>
      <c r="H964" t="e">
        <f t="shared" si="67"/>
        <v>#NUM!</v>
      </c>
    </row>
    <row r="965" spans="1:8" x14ac:dyDescent="0.2">
      <c r="A965" s="1">
        <v>41577</v>
      </c>
      <c r="B965">
        <v>513.28695200000004</v>
      </c>
      <c r="C965" s="2">
        <f t="shared" si="69"/>
        <v>-5.6164125526038822E-3</v>
      </c>
      <c r="D965">
        <v>-1.2683930881621521</v>
      </c>
      <c r="E965" s="15">
        <v>0</v>
      </c>
      <c r="F965">
        <f t="shared" si="68"/>
        <v>5.9700130435536673E-2</v>
      </c>
      <c r="G965">
        <f t="shared" si="66"/>
        <v>0</v>
      </c>
      <c r="H965" t="e">
        <f t="shared" si="67"/>
        <v>#NUM!</v>
      </c>
    </row>
    <row r="966" spans="1:8" x14ac:dyDescent="0.2">
      <c r="A966" s="1">
        <v>41578</v>
      </c>
      <c r="B966">
        <v>513.3666637</v>
      </c>
      <c r="C966" s="2">
        <f t="shared" si="69"/>
        <v>1.5529656401622622E-4</v>
      </c>
      <c r="D966">
        <v>-1.0276504908714776</v>
      </c>
      <c r="E966" s="15">
        <v>0</v>
      </c>
      <c r="F966">
        <f t="shared" si="68"/>
        <v>8.0835422155053523E-3</v>
      </c>
      <c r="G966">
        <f t="shared" si="66"/>
        <v>0</v>
      </c>
      <c r="H966" t="e">
        <f t="shared" si="67"/>
        <v>#NUM!</v>
      </c>
    </row>
    <row r="967" spans="1:8" x14ac:dyDescent="0.2">
      <c r="A967" s="1">
        <v>41579</v>
      </c>
      <c r="B967">
        <v>511.6032639</v>
      </c>
      <c r="C967" s="2">
        <f t="shared" si="69"/>
        <v>-3.4349713853459199E-3</v>
      </c>
      <c r="D967">
        <v>-23.118785480579053</v>
      </c>
      <c r="E967" s="15">
        <v>0</v>
      </c>
      <c r="F967">
        <f t="shared" si="68"/>
        <v>3.661428103345494E-3</v>
      </c>
      <c r="G967">
        <f t="shared" si="66"/>
        <v>0</v>
      </c>
      <c r="H967" t="e">
        <f t="shared" si="67"/>
        <v>#NUM!</v>
      </c>
    </row>
    <row r="968" spans="1:8" x14ac:dyDescent="0.2">
      <c r="A968" s="1">
        <v>41582</v>
      </c>
      <c r="B968">
        <v>511.14000629999998</v>
      </c>
      <c r="C968" s="2">
        <f t="shared" si="69"/>
        <v>-9.0550165076853397E-4</v>
      </c>
      <c r="D968">
        <v>-0.73638742534172663</v>
      </c>
      <c r="E968" s="15">
        <v>1</v>
      </c>
      <c r="F968">
        <f t="shared" si="68"/>
        <v>3.2825752210588178E-3</v>
      </c>
      <c r="G968">
        <f t="shared" ref="G968:G1031" si="70">E968/F968</f>
        <v>304.63886816200448</v>
      </c>
      <c r="H968">
        <f t="shared" ref="H968:H1031" si="71">-LOG(G968^2)-(F968^2)/(G968^2)</f>
        <v>-4.9675706264246253</v>
      </c>
    </row>
    <row r="969" spans="1:8" x14ac:dyDescent="0.2">
      <c r="A969" s="1">
        <v>41583</v>
      </c>
      <c r="B969">
        <v>508.85356439999998</v>
      </c>
      <c r="C969" s="2">
        <f t="shared" si="69"/>
        <v>-4.47322039327525E-3</v>
      </c>
      <c r="D969">
        <v>3.9400466464955159</v>
      </c>
      <c r="E969" s="15">
        <v>0</v>
      </c>
      <c r="F969">
        <f t="shared" ref="F969:F1032" si="72" xml:space="preserve"> $K$5 + $K$6 * G968 ^ 2 + $K$7 * F968</f>
        <v>12049.503896694308</v>
      </c>
      <c r="G969">
        <f t="shared" si="70"/>
        <v>0</v>
      </c>
      <c r="H969" t="e">
        <f t="shared" si="71"/>
        <v>#NUM!</v>
      </c>
    </row>
    <row r="970" spans="1:8" x14ac:dyDescent="0.2">
      <c r="A970" s="1">
        <v>41584</v>
      </c>
      <c r="B970">
        <v>509.46626689999999</v>
      </c>
      <c r="C970" s="2">
        <f t="shared" si="69"/>
        <v>1.2040841272723758E-3</v>
      </c>
      <c r="D970">
        <v>-1.269176124002859</v>
      </c>
      <c r="E970" s="15">
        <v>0</v>
      </c>
      <c r="F970">
        <f t="shared" si="72"/>
        <v>1032.3122141090901</v>
      </c>
      <c r="G970">
        <f t="shared" si="70"/>
        <v>0</v>
      </c>
      <c r="H970" t="e">
        <f t="shared" si="71"/>
        <v>#NUM!</v>
      </c>
    </row>
    <row r="971" spans="1:8" x14ac:dyDescent="0.2">
      <c r="A971" s="1">
        <v>41585</v>
      </c>
      <c r="B971">
        <v>502.09387839999999</v>
      </c>
      <c r="C971" s="2">
        <f t="shared" si="69"/>
        <v>-1.4470807939570767E-2</v>
      </c>
      <c r="D971">
        <v>-13.018103728641982</v>
      </c>
      <c r="E971" s="15">
        <v>0</v>
      </c>
      <c r="F971">
        <f t="shared" si="72"/>
        <v>88.443576215983882</v>
      </c>
      <c r="G971">
        <f t="shared" si="70"/>
        <v>0</v>
      </c>
      <c r="H971" t="e">
        <f t="shared" si="71"/>
        <v>#NUM!</v>
      </c>
    </row>
    <row r="972" spans="1:8" x14ac:dyDescent="0.2">
      <c r="A972" s="1">
        <v>41586</v>
      </c>
      <c r="B972">
        <v>506.11881840000001</v>
      </c>
      <c r="C972" s="2">
        <f t="shared" si="69"/>
        <v>8.0163096447742211E-3</v>
      </c>
      <c r="D972">
        <v>-1.5539642069917488</v>
      </c>
      <c r="E972" s="15">
        <v>0</v>
      </c>
      <c r="F972">
        <f t="shared" si="72"/>
        <v>7.5801373955078324</v>
      </c>
      <c r="G972">
        <f t="shared" si="70"/>
        <v>0</v>
      </c>
      <c r="H972" t="e">
        <f t="shared" si="71"/>
        <v>#NUM!</v>
      </c>
    </row>
    <row r="973" spans="1:8" x14ac:dyDescent="0.2">
      <c r="A973" s="1">
        <v>41589</v>
      </c>
      <c r="B973">
        <v>503.40897460000002</v>
      </c>
      <c r="C973" s="2">
        <f t="shared" si="69"/>
        <v>-5.354165270057833E-3</v>
      </c>
      <c r="D973">
        <v>-1.6679089889632916</v>
      </c>
      <c r="E973" s="15">
        <v>0</v>
      </c>
      <c r="F973">
        <f t="shared" si="72"/>
        <v>0.65237703208593878</v>
      </c>
      <c r="G973">
        <f t="shared" si="70"/>
        <v>0</v>
      </c>
      <c r="H973" t="e">
        <f t="shared" si="71"/>
        <v>#NUM!</v>
      </c>
    </row>
    <row r="974" spans="1:8" x14ac:dyDescent="0.2">
      <c r="A974" s="1">
        <v>41590</v>
      </c>
      <c r="B974">
        <v>504.00174920000001</v>
      </c>
      <c r="C974" s="2">
        <f t="shared" si="69"/>
        <v>1.1775209221706717E-3</v>
      </c>
      <c r="D974">
        <v>-1.2199261439977838</v>
      </c>
      <c r="E974" s="15">
        <v>1</v>
      </c>
      <c r="F974">
        <f t="shared" si="72"/>
        <v>5.8859561730144887E-2</v>
      </c>
      <c r="G974">
        <f t="shared" si="70"/>
        <v>16.989593034768564</v>
      </c>
      <c r="H974">
        <f t="shared" si="71"/>
        <v>-2.4603779543851534</v>
      </c>
    </row>
    <row r="975" spans="1:8" x14ac:dyDescent="0.2">
      <c r="A975" s="1">
        <v>41591</v>
      </c>
      <c r="B975">
        <v>514.30813290000003</v>
      </c>
      <c r="C975" s="2">
        <f t="shared" si="69"/>
        <v>2.0449103036565466E-2</v>
      </c>
      <c r="D975">
        <v>16.366233288550895</v>
      </c>
      <c r="E975" s="15">
        <v>0</v>
      </c>
      <c r="F975">
        <f t="shared" si="72"/>
        <v>37.484973237849282</v>
      </c>
      <c r="G975">
        <f t="shared" si="70"/>
        <v>0</v>
      </c>
      <c r="H975" t="e">
        <f t="shared" si="71"/>
        <v>#NUM!</v>
      </c>
    </row>
    <row r="976" spans="1:8" x14ac:dyDescent="0.2">
      <c r="A976" s="1">
        <v>41592</v>
      </c>
      <c r="B976">
        <v>515.68295220000005</v>
      </c>
      <c r="C976" s="2">
        <f t="shared" si="69"/>
        <v>2.6731432230089332E-3</v>
      </c>
      <c r="D976">
        <v>-0.86927821634870583</v>
      </c>
      <c r="E976" s="15">
        <v>0</v>
      </c>
      <c r="F976">
        <f t="shared" si="72"/>
        <v>3.2143944214670035</v>
      </c>
      <c r="G976">
        <f t="shared" si="70"/>
        <v>0</v>
      </c>
      <c r="H976" t="e">
        <f t="shared" si="71"/>
        <v>#NUM!</v>
      </c>
    </row>
    <row r="977" spans="1:8" x14ac:dyDescent="0.2">
      <c r="A977" s="1">
        <v>41593</v>
      </c>
      <c r="B977">
        <v>514.85110269999996</v>
      </c>
      <c r="C977" s="2">
        <f t="shared" si="69"/>
        <v>-1.6131025787283905E-3</v>
      </c>
      <c r="D977">
        <v>-1.6034478679794255</v>
      </c>
      <c r="E977" s="15">
        <v>1</v>
      </c>
      <c r="F977">
        <f t="shared" si="72"/>
        <v>0.27835359734686177</v>
      </c>
      <c r="G977">
        <f t="shared" si="70"/>
        <v>3.5925528160280278</v>
      </c>
      <c r="H977">
        <f t="shared" si="71"/>
        <v>-1.116809586065008</v>
      </c>
    </row>
    <row r="978" spans="1:8" x14ac:dyDescent="0.2">
      <c r="A978" s="1">
        <v>41596</v>
      </c>
      <c r="B978">
        <v>513.84981919999996</v>
      </c>
      <c r="C978" s="2">
        <f t="shared" si="69"/>
        <v>-1.9448020888933402E-3</v>
      </c>
      <c r="D978">
        <v>0.20562828089111893</v>
      </c>
      <c r="E978" s="15">
        <v>1</v>
      </c>
      <c r="F978">
        <f t="shared" si="72"/>
        <v>1.7025488042681116</v>
      </c>
      <c r="G978">
        <f t="shared" si="70"/>
        <v>0.58735467523345275</v>
      </c>
      <c r="H978">
        <f t="shared" si="71"/>
        <v>-7.9401027217557134</v>
      </c>
    </row>
    <row r="979" spans="1:8" x14ac:dyDescent="0.2">
      <c r="A979" s="1">
        <v>41597</v>
      </c>
      <c r="B979">
        <v>510.68669740000001</v>
      </c>
      <c r="C979" s="2">
        <f t="shared" si="69"/>
        <v>-6.1557320481780611E-3</v>
      </c>
      <c r="D979">
        <v>2.1652228693773594</v>
      </c>
      <c r="E979" s="15">
        <v>0</v>
      </c>
      <c r="F979">
        <f t="shared" si="72"/>
        <v>0.19362211843909546</v>
      </c>
      <c r="G979">
        <f t="shared" si="70"/>
        <v>0</v>
      </c>
      <c r="H979" t="e">
        <f t="shared" si="71"/>
        <v>#NUM!</v>
      </c>
    </row>
    <row r="980" spans="1:8" x14ac:dyDescent="0.2">
      <c r="A980" s="1">
        <v>41598</v>
      </c>
      <c r="B980">
        <v>509.24708889999999</v>
      </c>
      <c r="C980" s="2">
        <f t="shared" si="69"/>
        <v>-2.8189661241017861E-3</v>
      </c>
      <c r="D980">
        <v>-0.54205834463894054</v>
      </c>
      <c r="E980" s="15">
        <v>0</v>
      </c>
      <c r="F980">
        <f t="shared" si="72"/>
        <v>1.9556952867029447E-2</v>
      </c>
      <c r="G980">
        <f t="shared" si="70"/>
        <v>0</v>
      </c>
      <c r="H980" t="e">
        <f t="shared" si="71"/>
        <v>#NUM!</v>
      </c>
    </row>
    <row r="981" spans="1:8" x14ac:dyDescent="0.2">
      <c r="A981" s="1">
        <v>41599</v>
      </c>
      <c r="B981">
        <v>515.10513149999997</v>
      </c>
      <c r="C981" s="2">
        <f t="shared" si="69"/>
        <v>1.1503340377759744E-2</v>
      </c>
      <c r="D981">
        <v>-5.0806947906921307</v>
      </c>
      <c r="E981" s="15">
        <v>0</v>
      </c>
      <c r="F981">
        <f t="shared" si="72"/>
        <v>4.6443820897738349E-3</v>
      </c>
      <c r="G981">
        <f t="shared" si="70"/>
        <v>0</v>
      </c>
      <c r="H981" t="e">
        <f t="shared" si="71"/>
        <v>#NUM!</v>
      </c>
    </row>
    <row r="982" spans="1:8" x14ac:dyDescent="0.2">
      <c r="A982" s="1">
        <v>41600</v>
      </c>
      <c r="B982">
        <v>514.01919190000001</v>
      </c>
      <c r="C982" s="2">
        <f t="shared" si="69"/>
        <v>-2.1081902190290269E-3</v>
      </c>
      <c r="D982">
        <v>-1.1832676552894972</v>
      </c>
      <c r="E982" s="15">
        <v>0</v>
      </c>
      <c r="F982">
        <f t="shared" si="72"/>
        <v>3.3667871933119871E-3</v>
      </c>
      <c r="G982">
        <f t="shared" si="70"/>
        <v>0</v>
      </c>
      <c r="H982" t="e">
        <f t="shared" si="71"/>
        <v>#NUM!</v>
      </c>
    </row>
    <row r="983" spans="1:8" x14ac:dyDescent="0.2">
      <c r="A983" s="1">
        <v>41603</v>
      </c>
      <c r="B983">
        <v>521.01303919999998</v>
      </c>
      <c r="C983" s="2">
        <f t="shared" si="69"/>
        <v>1.360619877664138E-2</v>
      </c>
      <c r="D983">
        <v>-7.4539711140999465</v>
      </c>
      <c r="E983" s="15">
        <v>0</v>
      </c>
      <c r="F983">
        <f t="shared" si="72"/>
        <v>3.2573326436004888E-3</v>
      </c>
      <c r="G983">
        <f t="shared" si="70"/>
        <v>0</v>
      </c>
      <c r="H983" t="e">
        <f t="shared" si="71"/>
        <v>#NUM!</v>
      </c>
    </row>
    <row r="984" spans="1:8" x14ac:dyDescent="0.2">
      <c r="A984" s="1">
        <v>41604</v>
      </c>
      <c r="B984">
        <v>527.2297251</v>
      </c>
      <c r="C984" s="2">
        <f t="shared" si="69"/>
        <v>1.1931919994834587E-2</v>
      </c>
      <c r="D984">
        <v>-0.12305264749484129</v>
      </c>
      <c r="E984" s="15">
        <v>0</v>
      </c>
      <c r="F984">
        <f t="shared" si="72"/>
        <v>3.2479554157438932E-3</v>
      </c>
      <c r="G984">
        <f t="shared" si="70"/>
        <v>0</v>
      </c>
      <c r="H984" t="e">
        <f t="shared" si="71"/>
        <v>#NUM!</v>
      </c>
    </row>
    <row r="985" spans="1:8" x14ac:dyDescent="0.2">
      <c r="A985" s="1">
        <v>41605</v>
      </c>
      <c r="B985">
        <v>529.57097650000003</v>
      </c>
      <c r="C985" s="2">
        <f t="shared" si="69"/>
        <v>4.4406665416218067E-3</v>
      </c>
      <c r="D985">
        <v>-0.6278330274135091</v>
      </c>
      <c r="E985" s="15">
        <v>0</v>
      </c>
      <c r="F985">
        <f t="shared" si="72"/>
        <v>3.2471520466513673E-3</v>
      </c>
      <c r="G985">
        <f t="shared" si="70"/>
        <v>0</v>
      </c>
      <c r="H985" t="e">
        <f t="shared" si="71"/>
        <v>#NUM!</v>
      </c>
    </row>
    <row r="986" spans="1:8" x14ac:dyDescent="0.2">
      <c r="A986" s="1">
        <v>41607</v>
      </c>
      <c r="B986">
        <v>527.81749449999995</v>
      </c>
      <c r="C986" s="2">
        <f t="shared" si="69"/>
        <v>-3.3111368972466265E-3</v>
      </c>
      <c r="D986">
        <v>-1.7456396165331844</v>
      </c>
      <c r="E986" s="15">
        <v>1</v>
      </c>
      <c r="F986">
        <f t="shared" si="72"/>
        <v>3.2470832201379569E-3</v>
      </c>
      <c r="G986">
        <f t="shared" si="70"/>
        <v>307.96870058584875</v>
      </c>
      <c r="H986">
        <f t="shared" si="71"/>
        <v>-4.9770131613355737</v>
      </c>
    </row>
    <row r="987" spans="1:8" x14ac:dyDescent="0.2">
      <c r="A987" s="1">
        <v>41610</v>
      </c>
      <c r="B987">
        <v>525.27207980000003</v>
      </c>
      <c r="C987" s="2">
        <f t="shared" si="69"/>
        <v>-4.8225281020879921E-3</v>
      </c>
      <c r="D987">
        <v>0.45645687621619085</v>
      </c>
      <c r="E987" s="15">
        <v>0</v>
      </c>
      <c r="F987">
        <f t="shared" si="72"/>
        <v>12314.355834062835</v>
      </c>
      <c r="G987">
        <f t="shared" si="70"/>
        <v>0</v>
      </c>
      <c r="H987" t="e">
        <f t="shared" si="71"/>
        <v>#NUM!</v>
      </c>
    </row>
    <row r="988" spans="1:8" x14ac:dyDescent="0.2">
      <c r="A988" s="1">
        <v>41611</v>
      </c>
      <c r="B988">
        <v>524.6643517</v>
      </c>
      <c r="C988" s="2">
        <f t="shared" si="69"/>
        <v>-1.1569777328188217E-3</v>
      </c>
      <c r="D988">
        <v>-0.76008895991339287</v>
      </c>
      <c r="E988" s="15">
        <v>0</v>
      </c>
      <c r="F988">
        <f t="shared" si="72"/>
        <v>1055.002700448048</v>
      </c>
      <c r="G988">
        <f t="shared" si="70"/>
        <v>0</v>
      </c>
      <c r="H988" t="e">
        <f t="shared" si="71"/>
        <v>#NUM!</v>
      </c>
    </row>
    <row r="989" spans="1:8" x14ac:dyDescent="0.2">
      <c r="A989" s="1">
        <v>41612</v>
      </c>
      <c r="B989">
        <v>527.1151615</v>
      </c>
      <c r="C989" s="2">
        <f t="shared" si="69"/>
        <v>4.6711955787713984E-3</v>
      </c>
      <c r="D989">
        <v>-5.0374118241590136</v>
      </c>
      <c r="E989" s="15">
        <v>0</v>
      </c>
      <c r="F989">
        <f t="shared" si="72"/>
        <v>90.387523371567809</v>
      </c>
      <c r="G989">
        <f t="shared" si="70"/>
        <v>0</v>
      </c>
      <c r="H989" t="e">
        <f t="shared" si="71"/>
        <v>#NUM!</v>
      </c>
    </row>
    <row r="990" spans="1:8" x14ac:dyDescent="0.2">
      <c r="A990" s="1">
        <v>41613</v>
      </c>
      <c r="B990">
        <v>526.69670389999999</v>
      </c>
      <c r="C990" s="2">
        <f t="shared" si="69"/>
        <v>-7.9386371435269496E-4</v>
      </c>
      <c r="D990">
        <v>-1.1699487210427388</v>
      </c>
      <c r="E990" s="15">
        <v>0</v>
      </c>
      <c r="F990">
        <f t="shared" si="72"/>
        <v>7.7466799053179756</v>
      </c>
      <c r="G990">
        <f t="shared" si="70"/>
        <v>0</v>
      </c>
      <c r="H990" t="e">
        <f t="shared" si="71"/>
        <v>#NUM!</v>
      </c>
    </row>
    <row r="991" spans="1:8" x14ac:dyDescent="0.2">
      <c r="A991" s="1">
        <v>41614</v>
      </c>
      <c r="B991">
        <v>532.9383527</v>
      </c>
      <c r="C991" s="2">
        <f t="shared" si="69"/>
        <v>1.1850556029272329E-2</v>
      </c>
      <c r="D991">
        <v>-15.92769579339585</v>
      </c>
      <c r="E991" s="15">
        <v>0</v>
      </c>
      <c r="F991">
        <f t="shared" si="72"/>
        <v>0.66664511930949821</v>
      </c>
      <c r="G991">
        <f t="shared" si="70"/>
        <v>0</v>
      </c>
      <c r="H991" t="e">
        <f t="shared" si="71"/>
        <v>#NUM!</v>
      </c>
    </row>
    <row r="992" spans="1:8" x14ac:dyDescent="0.2">
      <c r="A992" s="1">
        <v>41617</v>
      </c>
      <c r="B992">
        <v>537.05792750000001</v>
      </c>
      <c r="C992" s="2">
        <f t="shared" si="69"/>
        <v>7.7299274468223302E-3</v>
      </c>
      <c r="D992">
        <v>-0.34771605418948615</v>
      </c>
      <c r="E992" s="15">
        <v>0</v>
      </c>
      <c r="F992">
        <f t="shared" si="72"/>
        <v>6.0081942209766433E-2</v>
      </c>
      <c r="G992">
        <f t="shared" si="70"/>
        <v>0</v>
      </c>
      <c r="H992" t="e">
        <f t="shared" si="71"/>
        <v>#NUM!</v>
      </c>
    </row>
    <row r="993" spans="1:8" x14ac:dyDescent="0.2">
      <c r="A993" s="1">
        <v>41618</v>
      </c>
      <c r="B993">
        <v>540.30573600000002</v>
      </c>
      <c r="C993" s="2">
        <f t="shared" si="69"/>
        <v>6.0474081727431893E-3</v>
      </c>
      <c r="D993">
        <v>-0.217663009860565</v>
      </c>
      <c r="E993" s="15">
        <v>0</v>
      </c>
      <c r="F993">
        <f t="shared" si="72"/>
        <v>8.1162529252448799E-3</v>
      </c>
      <c r="G993">
        <f t="shared" si="70"/>
        <v>0</v>
      </c>
      <c r="H993" t="e">
        <f t="shared" si="71"/>
        <v>#NUM!</v>
      </c>
    </row>
    <row r="994" spans="1:8" x14ac:dyDescent="0.2">
      <c r="A994" s="1">
        <v>41619</v>
      </c>
      <c r="B994">
        <v>536.63446529999999</v>
      </c>
      <c r="C994" s="2">
        <f t="shared" si="69"/>
        <v>-6.7948023783335077E-3</v>
      </c>
      <c r="D994">
        <v>-2.1235891780811103</v>
      </c>
      <c r="E994" s="15">
        <v>1</v>
      </c>
      <c r="F994">
        <f t="shared" si="72"/>
        <v>3.6642305065291625E-3</v>
      </c>
      <c r="G994">
        <f t="shared" si="70"/>
        <v>272.9085951929431</v>
      </c>
      <c r="H994">
        <f t="shared" si="71"/>
        <v>-4.8720344279589298</v>
      </c>
    </row>
    <row r="995" spans="1:8" x14ac:dyDescent="0.2">
      <c r="A995" s="1">
        <v>41620</v>
      </c>
      <c r="B995">
        <v>532.98315279999997</v>
      </c>
      <c r="C995" s="2">
        <f t="shared" si="69"/>
        <v>-6.8040961512950693E-3</v>
      </c>
      <c r="D995">
        <v>1.3677767864443706E-3</v>
      </c>
      <c r="E995" s="15">
        <v>1</v>
      </c>
      <c r="F995">
        <f t="shared" si="72"/>
        <v>9670.1452676792724</v>
      </c>
      <c r="G995">
        <f t="shared" si="70"/>
        <v>1.0341106284538669E-4</v>
      </c>
      <c r="H995">
        <f t="shared" si="71"/>
        <v>-8744439813242044</v>
      </c>
    </row>
    <row r="996" spans="1:8" x14ac:dyDescent="0.2">
      <c r="A996" s="1">
        <v>41621</v>
      </c>
      <c r="B996">
        <v>528.41527380000002</v>
      </c>
      <c r="C996" s="2">
        <f t="shared" si="69"/>
        <v>-8.5704003513109705E-3</v>
      </c>
      <c r="D996">
        <v>0.25959424451691626</v>
      </c>
      <c r="E996" s="15">
        <v>0</v>
      </c>
      <c r="F996">
        <f t="shared" si="72"/>
        <v>828.46698268207808</v>
      </c>
      <c r="G996">
        <f t="shared" si="70"/>
        <v>0</v>
      </c>
      <c r="H996" t="e">
        <f t="shared" si="71"/>
        <v>#NUM!</v>
      </c>
    </row>
    <row r="997" spans="1:8" x14ac:dyDescent="0.2">
      <c r="A997" s="1">
        <v>41624</v>
      </c>
      <c r="B997">
        <v>534.48754989999998</v>
      </c>
      <c r="C997" s="2">
        <f t="shared" si="69"/>
        <v>1.1491484824676454E-2</v>
      </c>
      <c r="D997">
        <v>-2.3408340746787468</v>
      </c>
      <c r="E997" s="15">
        <v>0</v>
      </c>
      <c r="F997">
        <f t="shared" si="72"/>
        <v>70.979677386652554</v>
      </c>
      <c r="G997">
        <f t="shared" si="70"/>
        <v>0</v>
      </c>
      <c r="H997" t="e">
        <f t="shared" si="71"/>
        <v>#NUM!</v>
      </c>
    </row>
    <row r="998" spans="1:8" x14ac:dyDescent="0.2">
      <c r="A998" s="1">
        <v>41625</v>
      </c>
      <c r="B998">
        <v>532.93334800000002</v>
      </c>
      <c r="C998" s="2">
        <f t="shared" si="69"/>
        <v>-2.9078355525600855E-3</v>
      </c>
      <c r="D998">
        <v>-1.2530426308631493</v>
      </c>
      <c r="E998" s="15">
        <v>0</v>
      </c>
      <c r="F998">
        <f t="shared" si="72"/>
        <v>6.0839642440141084</v>
      </c>
      <c r="G998">
        <f t="shared" si="70"/>
        <v>0</v>
      </c>
      <c r="H998" t="e">
        <f t="shared" si="71"/>
        <v>#NUM!</v>
      </c>
    </row>
    <row r="999" spans="1:8" x14ac:dyDescent="0.2">
      <c r="A999" s="1">
        <v>41626</v>
      </c>
      <c r="B999">
        <v>540.35053600000003</v>
      </c>
      <c r="C999" s="2">
        <f t="shared" si="69"/>
        <v>1.3917665366288938E-2</v>
      </c>
      <c r="D999">
        <v>-5.7862628799746583</v>
      </c>
      <c r="E999" s="15">
        <v>0</v>
      </c>
      <c r="F999">
        <f t="shared" si="72"/>
        <v>0.52419637087579984</v>
      </c>
      <c r="G999">
        <f t="shared" si="70"/>
        <v>0</v>
      </c>
      <c r="H999" t="e">
        <f t="shared" si="71"/>
        <v>#NUM!</v>
      </c>
    </row>
    <row r="1000" spans="1:8" x14ac:dyDescent="0.2">
      <c r="A1000" s="1">
        <v>41627</v>
      </c>
      <c r="B1000">
        <v>541.08283719999997</v>
      </c>
      <c r="C1000" s="2">
        <f t="shared" si="69"/>
        <v>1.355233595992839E-3</v>
      </c>
      <c r="D1000">
        <v>-0.90262493311015679</v>
      </c>
      <c r="E1000" s="15">
        <v>1</v>
      </c>
      <c r="F1000">
        <f t="shared" si="72"/>
        <v>4.7878024003802824E-2</v>
      </c>
      <c r="G1000">
        <f t="shared" si="70"/>
        <v>20.886409178469282</v>
      </c>
      <c r="H1000">
        <f t="shared" si="71"/>
        <v>-2.6397328183936892</v>
      </c>
    </row>
    <row r="1001" spans="1:8" x14ac:dyDescent="0.2">
      <c r="A1001" s="1">
        <v>41628</v>
      </c>
      <c r="B1001">
        <v>548.25594509999996</v>
      </c>
      <c r="C1001" s="2">
        <f t="shared" si="69"/>
        <v>1.3256949595961036E-2</v>
      </c>
      <c r="D1001">
        <v>8.782040258712037</v>
      </c>
      <c r="E1001" s="15">
        <v>0</v>
      </c>
      <c r="F1001">
        <f t="shared" si="72"/>
        <v>56.647428331392909</v>
      </c>
      <c r="G1001">
        <f t="shared" si="70"/>
        <v>0</v>
      </c>
      <c r="H1001" t="e">
        <f t="shared" si="71"/>
        <v>#NUM!</v>
      </c>
    </row>
    <row r="1002" spans="1:8" x14ac:dyDescent="0.2">
      <c r="A1002" s="1">
        <v>41631</v>
      </c>
      <c r="B1002">
        <v>555.46890919999998</v>
      </c>
      <c r="C1002" s="2">
        <f t="shared" si="69"/>
        <v>1.3156198604803824E-2</v>
      </c>
      <c r="D1002">
        <v>-7.5998622781146856E-3</v>
      </c>
      <c r="E1002" s="15">
        <v>0</v>
      </c>
      <c r="F1002">
        <f t="shared" si="72"/>
        <v>4.8560868698629536</v>
      </c>
      <c r="G1002">
        <f t="shared" si="70"/>
        <v>0</v>
      </c>
      <c r="H1002" t="e">
        <f t="shared" si="71"/>
        <v>#NUM!</v>
      </c>
    </row>
    <row r="1003" spans="1:8" x14ac:dyDescent="0.2">
      <c r="A1003" s="1">
        <v>41632</v>
      </c>
      <c r="B1003">
        <v>553.84500500000001</v>
      </c>
      <c r="C1003" s="2">
        <f t="shared" si="69"/>
        <v>-2.9234835165459698E-3</v>
      </c>
      <c r="D1003">
        <v>-1.222213391904748</v>
      </c>
      <c r="E1003" s="15">
        <v>0</v>
      </c>
      <c r="F1003">
        <f t="shared" si="72"/>
        <v>0.41900123784822763</v>
      </c>
      <c r="G1003">
        <f t="shared" si="70"/>
        <v>0</v>
      </c>
      <c r="H1003" t="e">
        <f t="shared" si="71"/>
        <v>#NUM!</v>
      </c>
    </row>
    <row r="1004" spans="1:8" x14ac:dyDescent="0.2">
      <c r="A1004" s="1">
        <v>41634</v>
      </c>
      <c r="B1004">
        <v>556.64450920000002</v>
      </c>
      <c r="C1004" s="2">
        <f t="shared" si="69"/>
        <v>5.0546708460429308E-3</v>
      </c>
      <c r="D1004">
        <v>-2.7289890014549871</v>
      </c>
      <c r="E1004" s="15">
        <v>0</v>
      </c>
      <c r="F1004">
        <f t="shared" si="72"/>
        <v>3.8865710359422274E-2</v>
      </c>
      <c r="G1004">
        <f t="shared" si="70"/>
        <v>0</v>
      </c>
      <c r="H1004" t="e">
        <f t="shared" si="71"/>
        <v>#NUM!</v>
      </c>
    </row>
    <row r="1005" spans="1:8" x14ac:dyDescent="0.2">
      <c r="A1005" s="1">
        <v>41635</v>
      </c>
      <c r="B1005">
        <v>557.11277159999997</v>
      </c>
      <c r="C1005" s="2">
        <f t="shared" si="69"/>
        <v>8.4122342403581145E-4</v>
      </c>
      <c r="D1005">
        <v>-0.83357503393235455</v>
      </c>
      <c r="E1005" s="15">
        <v>0</v>
      </c>
      <c r="F1005">
        <f t="shared" si="72"/>
        <v>6.2986086076405531E-3</v>
      </c>
      <c r="G1005">
        <f t="shared" si="70"/>
        <v>0</v>
      </c>
      <c r="H1005" t="e">
        <f t="shared" si="71"/>
        <v>#NUM!</v>
      </c>
    </row>
    <row r="1006" spans="1:8" x14ac:dyDescent="0.2">
      <c r="A1006" s="1">
        <v>41638</v>
      </c>
      <c r="B1006">
        <v>552.65945620000002</v>
      </c>
      <c r="C1006" s="2">
        <f t="shared" si="69"/>
        <v>-7.9935618550087302E-3</v>
      </c>
      <c r="D1006">
        <v>-10.502305364559652</v>
      </c>
      <c r="E1006" s="15">
        <v>0</v>
      </c>
      <c r="F1006">
        <f t="shared" si="72"/>
        <v>3.5085086569272171E-3</v>
      </c>
      <c r="G1006">
        <f t="shared" si="70"/>
        <v>0</v>
      </c>
      <c r="H1006" t="e">
        <f t="shared" si="71"/>
        <v>#NUM!</v>
      </c>
    </row>
    <row r="1007" spans="1:8" x14ac:dyDescent="0.2">
      <c r="A1007" s="1">
        <v>41639</v>
      </c>
      <c r="B1007">
        <v>558.26346950000004</v>
      </c>
      <c r="C1007" s="2">
        <f t="shared" si="69"/>
        <v>1.014008398324049E-2</v>
      </c>
      <c r="D1007">
        <v>-2.2685313715170365</v>
      </c>
      <c r="E1007" s="15">
        <v>0</v>
      </c>
      <c r="F1007">
        <f t="shared" si="72"/>
        <v>3.2694742536111569E-3</v>
      </c>
      <c r="G1007">
        <f t="shared" si="70"/>
        <v>0</v>
      </c>
      <c r="H1007" t="e">
        <f t="shared" si="71"/>
        <v>#NUM!</v>
      </c>
    </row>
    <row r="1008" spans="1:8" x14ac:dyDescent="0.2">
      <c r="A1008" s="1">
        <v>41641</v>
      </c>
      <c r="B1008">
        <v>554.48264040000004</v>
      </c>
      <c r="C1008" s="2">
        <f t="shared" si="69"/>
        <v>-6.7724816445293226E-3</v>
      </c>
      <c r="D1008">
        <v>-1.667892066350029</v>
      </c>
      <c r="E1008" s="15">
        <v>1</v>
      </c>
      <c r="F1008">
        <f t="shared" si="72"/>
        <v>3.248995615935809E-3</v>
      </c>
      <c r="G1008">
        <f t="shared" si="70"/>
        <v>307.78742670355058</v>
      </c>
      <c r="H1008">
        <f t="shared" si="71"/>
        <v>-4.9765017494597332</v>
      </c>
    </row>
    <row r="1009" spans="1:8" x14ac:dyDescent="0.2">
      <c r="A1009" s="1">
        <v>41642</v>
      </c>
      <c r="B1009">
        <v>550.43777260000002</v>
      </c>
      <c r="C1009" s="2">
        <f t="shared" si="69"/>
        <v>-7.2948501996060325E-3</v>
      </c>
      <c r="D1009">
        <v>7.7131040362238404E-2</v>
      </c>
      <c r="E1009" s="15">
        <v>0</v>
      </c>
      <c r="F1009">
        <f t="shared" si="72"/>
        <v>12299.863364522615</v>
      </c>
      <c r="G1009">
        <f t="shared" si="70"/>
        <v>0</v>
      </c>
      <c r="H1009" t="e">
        <f t="shared" si="71"/>
        <v>#NUM!</v>
      </c>
    </row>
    <row r="1010" spans="1:8" x14ac:dyDescent="0.2">
      <c r="A1010" s="1">
        <v>41645</v>
      </c>
      <c r="B1010">
        <v>556.57480699999996</v>
      </c>
      <c r="C1010" s="2">
        <f t="shared" si="69"/>
        <v>1.114937002054126E-2</v>
      </c>
      <c r="D1010">
        <v>-2.5283891670789065</v>
      </c>
      <c r="E1010" s="15">
        <v>1</v>
      </c>
      <c r="F1010">
        <f t="shared" si="72"/>
        <v>1053.7610966093621</v>
      </c>
      <c r="G1010">
        <f t="shared" si="70"/>
        <v>9.4898170298529086E-4</v>
      </c>
      <c r="H1010">
        <f t="shared" si="71"/>
        <v>-1233015806282.6582</v>
      </c>
    </row>
    <row r="1011" spans="1:8" x14ac:dyDescent="0.2">
      <c r="A1011" s="1">
        <v>41646</v>
      </c>
      <c r="B1011">
        <v>567.30456170000002</v>
      </c>
      <c r="C1011" s="2">
        <f t="shared" si="69"/>
        <v>1.9278189679181899E-2</v>
      </c>
      <c r="D1011">
        <v>0.72908331535004656</v>
      </c>
      <c r="E1011" s="15">
        <v>0</v>
      </c>
      <c r="F1011">
        <f t="shared" si="72"/>
        <v>90.281152377072843</v>
      </c>
      <c r="G1011">
        <f t="shared" si="70"/>
        <v>0</v>
      </c>
      <c r="H1011" t="e">
        <f t="shared" si="71"/>
        <v>#NUM!</v>
      </c>
    </row>
    <row r="1012" spans="1:8" x14ac:dyDescent="0.2">
      <c r="A1012" s="1">
        <v>41647</v>
      </c>
      <c r="B1012">
        <v>568.48516649999999</v>
      </c>
      <c r="C1012" s="2">
        <f t="shared" si="69"/>
        <v>2.0810775722693597E-3</v>
      </c>
      <c r="D1012">
        <v>-0.89205015580292424</v>
      </c>
      <c r="E1012" s="15">
        <v>0</v>
      </c>
      <c r="F1012">
        <f t="shared" si="72"/>
        <v>7.7375668528652346</v>
      </c>
      <c r="G1012">
        <f t="shared" si="70"/>
        <v>0</v>
      </c>
      <c r="H1012" t="e">
        <f t="shared" si="71"/>
        <v>#NUM!</v>
      </c>
    </row>
    <row r="1013" spans="1:8" x14ac:dyDescent="0.2">
      <c r="A1013" s="1">
        <v>41648</v>
      </c>
      <c r="B1013">
        <v>563.01066979999996</v>
      </c>
      <c r="C1013" s="2">
        <f t="shared" si="69"/>
        <v>-9.6299728165379177E-3</v>
      </c>
      <c r="D1013">
        <v>-5.6273973372538384</v>
      </c>
      <c r="E1013" s="15">
        <v>0</v>
      </c>
      <c r="F1013">
        <f t="shared" si="72"/>
        <v>0.66586438274309956</v>
      </c>
      <c r="G1013">
        <f t="shared" si="70"/>
        <v>0</v>
      </c>
      <c r="H1013" t="e">
        <f t="shared" si="71"/>
        <v>#NUM!</v>
      </c>
    </row>
    <row r="1014" spans="1:8" x14ac:dyDescent="0.2">
      <c r="A1014" s="1">
        <v>41649</v>
      </c>
      <c r="B1014">
        <v>562.98076289999995</v>
      </c>
      <c r="C1014" s="2">
        <f t="shared" si="69"/>
        <v>-5.3119597201663024E-5</v>
      </c>
      <c r="D1014">
        <v>-0.99448393072196017</v>
      </c>
      <c r="E1014" s="15">
        <v>1</v>
      </c>
      <c r="F1014">
        <f t="shared" si="72"/>
        <v>6.0015054677924277E-2</v>
      </c>
      <c r="G1014">
        <f t="shared" si="70"/>
        <v>16.662485860699157</v>
      </c>
      <c r="H1014">
        <f t="shared" si="71"/>
        <v>-2.4434925607969515</v>
      </c>
    </row>
    <row r="1015" spans="1:8" x14ac:dyDescent="0.2">
      <c r="A1015" s="1">
        <v>41652</v>
      </c>
      <c r="B1015">
        <v>559.39420870000004</v>
      </c>
      <c r="C1015" s="2">
        <f t="shared" si="69"/>
        <v>-6.370651426036337E-3</v>
      </c>
      <c r="D1015">
        <v>118.93034137384028</v>
      </c>
      <c r="E1015" s="15">
        <v>0</v>
      </c>
      <c r="F1015">
        <f t="shared" si="72"/>
        <v>36.055847934970252</v>
      </c>
      <c r="G1015">
        <f t="shared" si="70"/>
        <v>0</v>
      </c>
      <c r="H1015" t="e">
        <f t="shared" si="71"/>
        <v>#NUM!</v>
      </c>
    </row>
    <row r="1016" spans="1:8" x14ac:dyDescent="0.2">
      <c r="A1016" s="1">
        <v>41653</v>
      </c>
      <c r="B1016">
        <v>572.554937</v>
      </c>
      <c r="C1016" s="2">
        <f t="shared" si="69"/>
        <v>2.3526751073424116E-2</v>
      </c>
      <c r="D1016">
        <v>-4.6929898530112926</v>
      </c>
      <c r="E1016" s="15">
        <v>0</v>
      </c>
      <c r="F1016">
        <f t="shared" si="72"/>
        <v>3.0919579066209191</v>
      </c>
      <c r="G1016">
        <f t="shared" si="70"/>
        <v>0</v>
      </c>
      <c r="H1016" t="e">
        <f t="shared" si="71"/>
        <v>#NUM!</v>
      </c>
    </row>
    <row r="1017" spans="1:8" x14ac:dyDescent="0.2">
      <c r="A1017" s="1">
        <v>41654</v>
      </c>
      <c r="B1017">
        <v>572.16638639999996</v>
      </c>
      <c r="C1017" s="2">
        <f t="shared" si="69"/>
        <v>-6.7862588354561772E-4</v>
      </c>
      <c r="D1017">
        <v>-1.0288448618097632</v>
      </c>
      <c r="E1017" s="15">
        <v>0</v>
      </c>
      <c r="F1017">
        <f t="shared" si="72"/>
        <v>0.26786417410492763</v>
      </c>
      <c r="G1017">
        <f t="shared" si="70"/>
        <v>0</v>
      </c>
      <c r="H1017" t="e">
        <f t="shared" si="71"/>
        <v>#NUM!</v>
      </c>
    </row>
    <row r="1018" spans="1:8" x14ac:dyDescent="0.2">
      <c r="A1018" s="1">
        <v>41655</v>
      </c>
      <c r="B1018">
        <v>575.95215940000003</v>
      </c>
      <c r="C1018" s="2">
        <f t="shared" si="69"/>
        <v>6.6165596057113345E-3</v>
      </c>
      <c r="D1018">
        <v>-10.749936992001816</v>
      </c>
      <c r="E1018" s="15">
        <v>0</v>
      </c>
      <c r="F1018">
        <f t="shared" si="72"/>
        <v>2.5917443813779494E-2</v>
      </c>
      <c r="G1018">
        <f t="shared" si="70"/>
        <v>0</v>
      </c>
      <c r="H1018" t="e">
        <f t="shared" si="71"/>
        <v>#NUM!</v>
      </c>
    </row>
    <row r="1019" spans="1:8" x14ac:dyDescent="0.2">
      <c r="A1019" s="1">
        <v>41656</v>
      </c>
      <c r="B1019">
        <v>573.11780380000005</v>
      </c>
      <c r="C1019" s="2">
        <f t="shared" si="69"/>
        <v>-4.9211649852180074E-3</v>
      </c>
      <c r="D1019">
        <v>-1.7437649289776089</v>
      </c>
      <c r="E1019" s="15">
        <v>0</v>
      </c>
      <c r="F1019">
        <f t="shared" si="72"/>
        <v>5.1893002594132018E-3</v>
      </c>
      <c r="G1019">
        <f t="shared" si="70"/>
        <v>0</v>
      </c>
      <c r="H1019" t="e">
        <f t="shared" si="71"/>
        <v>#NUM!</v>
      </c>
    </row>
    <row r="1020" spans="1:8" x14ac:dyDescent="0.2">
      <c r="A1020" s="1">
        <v>41660</v>
      </c>
      <c r="B1020">
        <v>579.67824010000004</v>
      </c>
      <c r="C1020" s="2">
        <f t="shared" si="69"/>
        <v>1.1446924622654677E-2</v>
      </c>
      <c r="D1020">
        <v>-3.326059918136961</v>
      </c>
      <c r="E1020" s="15">
        <v>0</v>
      </c>
      <c r="F1020">
        <f t="shared" si="72"/>
        <v>3.4134716102994589E-3</v>
      </c>
      <c r="G1020">
        <f t="shared" si="70"/>
        <v>0</v>
      </c>
      <c r="H1020" t="e">
        <f t="shared" si="71"/>
        <v>#NUM!</v>
      </c>
    </row>
    <row r="1021" spans="1:8" x14ac:dyDescent="0.2">
      <c r="A1021" s="1">
        <v>41661</v>
      </c>
      <c r="B1021">
        <v>580.33577309999998</v>
      </c>
      <c r="C1021" s="2">
        <f t="shared" si="69"/>
        <v>1.1343068525161704E-3</v>
      </c>
      <c r="D1021">
        <v>-0.90090728384187513</v>
      </c>
      <c r="E1021" s="15">
        <v>0</v>
      </c>
      <c r="F1021">
        <f t="shared" si="72"/>
        <v>3.2613322070411841E-3</v>
      </c>
      <c r="G1021">
        <f t="shared" si="70"/>
        <v>0</v>
      </c>
      <c r="H1021" t="e">
        <f t="shared" si="71"/>
        <v>#NUM!</v>
      </c>
    </row>
    <row r="1022" spans="1:8" x14ac:dyDescent="0.2">
      <c r="A1022" s="1">
        <v>41662</v>
      </c>
      <c r="B1022">
        <v>577.88496329999998</v>
      </c>
      <c r="C1022" s="2">
        <f t="shared" si="69"/>
        <v>-4.2230893107078771E-3</v>
      </c>
      <c r="D1022">
        <v>-4.7230572144918552</v>
      </c>
      <c r="E1022" s="15">
        <v>1</v>
      </c>
      <c r="F1022">
        <f t="shared" si="72"/>
        <v>3.2482980677196144E-3</v>
      </c>
      <c r="G1022">
        <f t="shared" si="70"/>
        <v>307.85352179888611</v>
      </c>
      <c r="H1022">
        <f t="shared" si="71"/>
        <v>-4.9766882525528144</v>
      </c>
    </row>
    <row r="1023" spans="1:8" x14ac:dyDescent="0.2">
      <c r="A1023" s="1">
        <v>41663</v>
      </c>
      <c r="B1023">
        <v>559.81761019999999</v>
      </c>
      <c r="C1023" s="2">
        <f t="shared" si="69"/>
        <v>-3.1264618821065612E-2</v>
      </c>
      <c r="D1023">
        <v>6.4032577861406903</v>
      </c>
      <c r="E1023" s="15">
        <v>0</v>
      </c>
      <c r="F1023">
        <f t="shared" si="72"/>
        <v>12305.146541390654</v>
      </c>
      <c r="G1023">
        <f t="shared" si="70"/>
        <v>0</v>
      </c>
      <c r="H1023" t="e">
        <f t="shared" si="71"/>
        <v>#NUM!</v>
      </c>
    </row>
    <row r="1024" spans="1:8" x14ac:dyDescent="0.2">
      <c r="A1024" s="1">
        <v>41666</v>
      </c>
      <c r="B1024">
        <v>548.55977829999995</v>
      </c>
      <c r="C1024" s="2">
        <f t="shared" si="69"/>
        <v>-2.010982093967726E-2</v>
      </c>
      <c r="D1024">
        <v>-0.35678662660913119</v>
      </c>
      <c r="E1024" s="15">
        <v>0</v>
      </c>
      <c r="F1024">
        <f t="shared" si="72"/>
        <v>1054.213718756444</v>
      </c>
      <c r="G1024">
        <f t="shared" si="70"/>
        <v>0</v>
      </c>
      <c r="H1024" t="e">
        <f t="shared" si="71"/>
        <v>#NUM!</v>
      </c>
    </row>
    <row r="1025" spans="1:8" x14ac:dyDescent="0.2">
      <c r="A1025" s="1">
        <v>41667</v>
      </c>
      <c r="B1025">
        <v>559.4091621</v>
      </c>
      <c r="C1025" s="2">
        <f t="shared" si="69"/>
        <v>1.9777942585624046E-2</v>
      </c>
      <c r="D1025">
        <v>-1.9834967026783212</v>
      </c>
      <c r="E1025" s="15">
        <v>0</v>
      </c>
      <c r="F1025">
        <f t="shared" si="72"/>
        <v>90.319929460521124</v>
      </c>
      <c r="G1025">
        <f t="shared" si="70"/>
        <v>0</v>
      </c>
      <c r="H1025" t="e">
        <f t="shared" si="71"/>
        <v>#NUM!</v>
      </c>
    </row>
    <row r="1026" spans="1:8" x14ac:dyDescent="0.2">
      <c r="A1026" s="1">
        <v>41668</v>
      </c>
      <c r="B1026">
        <v>551.39419520000001</v>
      </c>
      <c r="C1026" s="2">
        <f t="shared" si="69"/>
        <v>-1.4327557435620324E-2</v>
      </c>
      <c r="D1026">
        <v>-1.7244210247649605</v>
      </c>
      <c r="E1026" s="15">
        <v>0</v>
      </c>
      <c r="F1026">
        <f t="shared" si="72"/>
        <v>7.7408889765052953</v>
      </c>
      <c r="G1026">
        <f t="shared" si="70"/>
        <v>0</v>
      </c>
      <c r="H1026" t="e">
        <f t="shared" si="71"/>
        <v>#NUM!</v>
      </c>
    </row>
    <row r="1027" spans="1:8" x14ac:dyDescent="0.2">
      <c r="A1027" s="1">
        <v>41669</v>
      </c>
      <c r="B1027">
        <v>565.57604309999999</v>
      </c>
      <c r="C1027" s="2">
        <f t="shared" si="69"/>
        <v>2.5719980412300104E-2</v>
      </c>
      <c r="D1027">
        <v>-2.7951406251812756</v>
      </c>
      <c r="E1027" s="15">
        <v>1</v>
      </c>
      <c r="F1027">
        <f t="shared" si="72"/>
        <v>0.66614899686304929</v>
      </c>
      <c r="G1027">
        <f t="shared" si="70"/>
        <v>1.5011656622003227</v>
      </c>
      <c r="H1027">
        <f t="shared" si="71"/>
        <v>-0.54977528739082104</v>
      </c>
    </row>
    <row r="1028" spans="1:8" x14ac:dyDescent="0.2">
      <c r="A1028" s="1">
        <v>41670</v>
      </c>
      <c r="B1028">
        <v>588.28097700000001</v>
      </c>
      <c r="C1028" s="2">
        <f t="shared" ref="C1028:C1091" si="73">(B1028-B1027)/B1027</f>
        <v>4.0144794280095659E-2</v>
      </c>
      <c r="D1028">
        <v>0.5608407796802658</v>
      </c>
      <c r="E1028" s="15">
        <v>0</v>
      </c>
      <c r="F1028">
        <f t="shared" si="72"/>
        <v>0.35262686978712365</v>
      </c>
      <c r="G1028">
        <f t="shared" si="70"/>
        <v>0</v>
      </c>
      <c r="H1028" t="e">
        <f t="shared" si="71"/>
        <v>#NUM!</v>
      </c>
    </row>
    <row r="1029" spans="1:8" x14ac:dyDescent="0.2">
      <c r="A1029" s="1">
        <v>41673</v>
      </c>
      <c r="B1029">
        <v>564.59972310000001</v>
      </c>
      <c r="C1029" s="2">
        <f t="shared" si="73"/>
        <v>-4.0255005390051904E-2</v>
      </c>
      <c r="D1029">
        <v>-2.0027453400106445</v>
      </c>
      <c r="E1029" s="15">
        <v>0</v>
      </c>
      <c r="F1029">
        <f t="shared" si="72"/>
        <v>3.3179262653163503E-2</v>
      </c>
      <c r="G1029">
        <f t="shared" si="70"/>
        <v>0</v>
      </c>
      <c r="H1029" t="e">
        <f t="shared" si="71"/>
        <v>#NUM!</v>
      </c>
    </row>
    <row r="1030" spans="1:8" x14ac:dyDescent="0.2">
      <c r="A1030" s="1">
        <v>41674</v>
      </c>
      <c r="B1030">
        <v>566.95586719999994</v>
      </c>
      <c r="C1030" s="2">
        <f t="shared" si="73"/>
        <v>4.1731230172470796E-3</v>
      </c>
      <c r="D1030">
        <v>-1.103667183169186</v>
      </c>
      <c r="E1030" s="15">
        <v>1</v>
      </c>
      <c r="F1030">
        <f t="shared" si="72"/>
        <v>5.8114373025028908E-3</v>
      </c>
      <c r="G1030">
        <f t="shared" si="70"/>
        <v>172.0744710726409</v>
      </c>
      <c r="H1030">
        <f t="shared" si="71"/>
        <v>-4.471432887703009</v>
      </c>
    </row>
    <row r="1031" spans="1:8" x14ac:dyDescent="0.2">
      <c r="A1031" s="1">
        <v>41675</v>
      </c>
      <c r="B1031">
        <v>569.46649179999997</v>
      </c>
      <c r="C1031" s="2">
        <f t="shared" si="73"/>
        <v>4.4282540233671801E-3</v>
      </c>
      <c r="D1031">
        <v>6.1136708662953586E-2</v>
      </c>
      <c r="E1031" s="15">
        <v>1</v>
      </c>
      <c r="F1031">
        <f t="shared" si="72"/>
        <v>3844.4277303239369</v>
      </c>
      <c r="G1031">
        <f t="shared" si="70"/>
        <v>2.6011673782088204E-4</v>
      </c>
      <c r="H1031">
        <f t="shared" si="71"/>
        <v>-218437302539026.62</v>
      </c>
    </row>
    <row r="1032" spans="1:8" x14ac:dyDescent="0.2">
      <c r="A1032" s="1">
        <v>41676</v>
      </c>
      <c r="B1032">
        <v>577.81519979999996</v>
      </c>
      <c r="C1032" s="2">
        <f t="shared" si="73"/>
        <v>1.4660578137988326E-2</v>
      </c>
      <c r="D1032">
        <v>2.3106904122091523</v>
      </c>
      <c r="E1032" s="15">
        <v>1</v>
      </c>
      <c r="F1032">
        <f t="shared" si="72"/>
        <v>329.36410464612266</v>
      </c>
      <c r="G1032">
        <f t="shared" ref="G1032:G1095" si="74">E1032/F1032</f>
        <v>3.0361535634686907E-3</v>
      </c>
      <c r="H1032">
        <f t="shared" ref="H1032:H1095" si="75">-LOG(G1032^2)-(F1032^2)/(G1032^2)</f>
        <v>-11768065181.103676</v>
      </c>
    </row>
    <row r="1033" spans="1:8" x14ac:dyDescent="0.2">
      <c r="A1033" s="1">
        <v>41677</v>
      </c>
      <c r="B1033">
        <v>586.52255100000002</v>
      </c>
      <c r="C1033" s="2">
        <f t="shared" si="73"/>
        <v>1.5069439507672956E-2</v>
      </c>
      <c r="D1033">
        <v>2.7888488832864856E-2</v>
      </c>
      <c r="E1033" s="15">
        <v>0</v>
      </c>
      <c r="F1033">
        <f t="shared" ref="F1033:F1096" si="76" xml:space="preserve"> $K$5 + $K$6 * G1032 ^ 2 + $K$7 * F1032</f>
        <v>28.220365027691138</v>
      </c>
      <c r="G1033">
        <f t="shared" si="74"/>
        <v>0</v>
      </c>
      <c r="H1033" t="e">
        <f t="shared" si="75"/>
        <v>#NUM!</v>
      </c>
    </row>
    <row r="1034" spans="1:8" x14ac:dyDescent="0.2">
      <c r="A1034" s="1">
        <v>41680</v>
      </c>
      <c r="B1034">
        <v>584.27596519999997</v>
      </c>
      <c r="C1034" s="2">
        <f t="shared" si="73"/>
        <v>-3.8303485452855978E-3</v>
      </c>
      <c r="D1034">
        <v>-1.254179894569754</v>
      </c>
      <c r="E1034" s="15">
        <v>0</v>
      </c>
      <c r="F1034">
        <f t="shared" si="76"/>
        <v>2.4206737180541973</v>
      </c>
      <c r="G1034">
        <f t="shared" si="74"/>
        <v>0</v>
      </c>
      <c r="H1034" t="e">
        <f t="shared" si="75"/>
        <v>#NUM!</v>
      </c>
    </row>
    <row r="1035" spans="1:8" x14ac:dyDescent="0.2">
      <c r="A1035" s="1">
        <v>41681</v>
      </c>
      <c r="B1035">
        <v>592.86881459999995</v>
      </c>
      <c r="C1035" s="2">
        <f t="shared" si="73"/>
        <v>1.4706833605689413E-2</v>
      </c>
      <c r="D1035">
        <v>-4.8395549208676112</v>
      </c>
      <c r="E1035" s="15">
        <v>0</v>
      </c>
      <c r="F1035">
        <f t="shared" si="76"/>
        <v>0.21035368404935537</v>
      </c>
      <c r="G1035">
        <f t="shared" si="74"/>
        <v>0</v>
      </c>
      <c r="H1035" t="e">
        <f t="shared" si="75"/>
        <v>#NUM!</v>
      </c>
    </row>
    <row r="1036" spans="1:8" x14ac:dyDescent="0.2">
      <c r="A1036" s="1">
        <v>41682</v>
      </c>
      <c r="B1036">
        <v>591.13028610000003</v>
      </c>
      <c r="C1036" s="2">
        <f t="shared" si="73"/>
        <v>-2.932399979872235E-3</v>
      </c>
      <c r="D1036">
        <v>-1.1993903010324276</v>
      </c>
      <c r="E1036" s="15">
        <v>0</v>
      </c>
      <c r="F1036">
        <f t="shared" si="76"/>
        <v>2.0990385314913429E-2</v>
      </c>
      <c r="G1036">
        <f t="shared" si="74"/>
        <v>0</v>
      </c>
      <c r="H1036" t="e">
        <f t="shared" si="75"/>
        <v>#NUM!</v>
      </c>
    </row>
    <row r="1037" spans="1:8" x14ac:dyDescent="0.2">
      <c r="A1037" s="1">
        <v>41683</v>
      </c>
      <c r="B1037">
        <v>597.71068060000005</v>
      </c>
      <c r="C1037" s="2">
        <f t="shared" si="73"/>
        <v>1.1131885228575181E-2</v>
      </c>
      <c r="D1037">
        <v>-4.7961687713079977</v>
      </c>
      <c r="E1037" s="15">
        <v>0</v>
      </c>
      <c r="F1037">
        <f t="shared" si="76"/>
        <v>4.7671876078292817E-3</v>
      </c>
      <c r="G1037">
        <f t="shared" si="74"/>
        <v>0</v>
      </c>
      <c r="H1037" t="e">
        <f t="shared" si="75"/>
        <v>#NUM!</v>
      </c>
    </row>
    <row r="1038" spans="1:8" x14ac:dyDescent="0.2">
      <c r="A1038" s="1">
        <v>41684</v>
      </c>
      <c r="B1038">
        <v>599.15526299999999</v>
      </c>
      <c r="C1038" s="2">
        <f t="shared" si="73"/>
        <v>2.4168589367515223E-3</v>
      </c>
      <c r="D1038">
        <v>-0.78288862244577173</v>
      </c>
      <c r="E1038" s="15">
        <v>1</v>
      </c>
      <c r="F1038">
        <f t="shared" si="76"/>
        <v>3.3773082299238828E-3</v>
      </c>
      <c r="G1038">
        <f t="shared" si="74"/>
        <v>296.0937918368611</v>
      </c>
      <c r="H1038">
        <f t="shared" si="75"/>
        <v>-4.9428586034986424</v>
      </c>
    </row>
    <row r="1039" spans="1:8" x14ac:dyDescent="0.2">
      <c r="A1039" s="1">
        <v>41688</v>
      </c>
      <c r="B1039">
        <v>603.18017259999999</v>
      </c>
      <c r="C1039" s="2">
        <f t="shared" si="73"/>
        <v>6.7176403989962132E-3</v>
      </c>
      <c r="D1039">
        <v>1.7794921320585353</v>
      </c>
      <c r="E1039" s="15">
        <v>0</v>
      </c>
      <c r="F1039">
        <f t="shared" si="76"/>
        <v>11383.010873206904</v>
      </c>
      <c r="G1039">
        <f t="shared" si="74"/>
        <v>0</v>
      </c>
      <c r="H1039" t="e">
        <f t="shared" si="75"/>
        <v>#NUM!</v>
      </c>
    </row>
    <row r="1040" spans="1:8" x14ac:dyDescent="0.2">
      <c r="A1040" s="1">
        <v>41689</v>
      </c>
      <c r="B1040">
        <v>598.92613679999999</v>
      </c>
      <c r="C1040" s="2">
        <f t="shared" si="73"/>
        <v>-7.0526784421030171E-3</v>
      </c>
      <c r="D1040">
        <v>-2.0498743640932116</v>
      </c>
      <c r="E1040" s="15">
        <v>0</v>
      </c>
      <c r="F1040">
        <f t="shared" si="76"/>
        <v>975.21219439728804</v>
      </c>
      <c r="G1040">
        <f t="shared" si="74"/>
        <v>0</v>
      </c>
      <c r="H1040" t="e">
        <f t="shared" si="75"/>
        <v>#NUM!</v>
      </c>
    </row>
    <row r="1041" spans="1:8" x14ac:dyDescent="0.2">
      <c r="A1041" s="1">
        <v>41690</v>
      </c>
      <c r="B1041">
        <v>599.80779110000003</v>
      </c>
      <c r="C1041" s="2">
        <f t="shared" si="73"/>
        <v>1.4720584823875338E-3</v>
      </c>
      <c r="D1041">
        <v>-1.2087233232695895</v>
      </c>
      <c r="E1041" s="15">
        <v>0</v>
      </c>
      <c r="F1041">
        <f t="shared" si="76"/>
        <v>83.551683673691159</v>
      </c>
      <c r="G1041">
        <f t="shared" si="74"/>
        <v>0</v>
      </c>
      <c r="H1041" t="e">
        <f t="shared" si="75"/>
        <v>#NUM!</v>
      </c>
    </row>
    <row r="1042" spans="1:8" x14ac:dyDescent="0.2">
      <c r="A1042" s="1">
        <v>41691</v>
      </c>
      <c r="B1042">
        <v>599.64842799999997</v>
      </c>
      <c r="C1042" s="2">
        <f t="shared" si="73"/>
        <v>-2.6569028006089224E-4</v>
      </c>
      <c r="D1042">
        <v>-1.1804889433672288</v>
      </c>
      <c r="E1042" s="15">
        <v>0</v>
      </c>
      <c r="F1042">
        <f t="shared" si="76"/>
        <v>7.1610374938594106</v>
      </c>
      <c r="G1042">
        <f t="shared" si="74"/>
        <v>0</v>
      </c>
      <c r="H1042" t="e">
        <f t="shared" si="75"/>
        <v>#NUM!</v>
      </c>
    </row>
    <row r="1043" spans="1:8" x14ac:dyDescent="0.2">
      <c r="A1043" s="1">
        <v>41694</v>
      </c>
      <c r="B1043">
        <v>603.99212469999998</v>
      </c>
      <c r="C1043" s="2">
        <f t="shared" si="73"/>
        <v>7.2437389930087668E-3</v>
      </c>
      <c r="D1043">
        <v>-28.263846428061314</v>
      </c>
      <c r="E1043" s="15">
        <v>0</v>
      </c>
      <c r="F1043">
        <f t="shared" si="76"/>
        <v>0.61647176105981039</v>
      </c>
      <c r="G1043">
        <f t="shared" si="74"/>
        <v>0</v>
      </c>
      <c r="H1043" t="e">
        <f t="shared" si="75"/>
        <v>#NUM!</v>
      </c>
    </row>
    <row r="1044" spans="1:8" x14ac:dyDescent="0.2">
      <c r="A1044" s="1">
        <v>41695</v>
      </c>
      <c r="B1044">
        <v>607.72314889999996</v>
      </c>
      <c r="C1044" s="2">
        <f t="shared" si="73"/>
        <v>6.1772729269494384E-3</v>
      </c>
      <c r="D1044">
        <v>-0.14722591013958664</v>
      </c>
      <c r="E1044" s="15">
        <v>0</v>
      </c>
      <c r="F1044">
        <f t="shared" si="76"/>
        <v>5.578347299237843E-2</v>
      </c>
      <c r="G1044">
        <f t="shared" si="74"/>
        <v>0</v>
      </c>
      <c r="H1044" t="e">
        <f t="shared" si="75"/>
        <v>#NUM!</v>
      </c>
    </row>
    <row r="1045" spans="1:8" x14ac:dyDescent="0.2">
      <c r="A1045" s="1">
        <v>41696</v>
      </c>
      <c r="B1045">
        <v>607.8078051</v>
      </c>
      <c r="C1045" s="2">
        <f t="shared" si="73"/>
        <v>1.3930060119195892E-4</v>
      </c>
      <c r="D1045">
        <v>-0.97744949869638498</v>
      </c>
      <c r="E1045" s="15">
        <v>0</v>
      </c>
      <c r="F1045">
        <f t="shared" si="76"/>
        <v>7.7479929909410571E-3</v>
      </c>
      <c r="G1045">
        <f t="shared" si="74"/>
        <v>0</v>
      </c>
      <c r="H1045" t="e">
        <f t="shared" si="75"/>
        <v>#NUM!</v>
      </c>
    </row>
    <row r="1046" spans="1:8" x14ac:dyDescent="0.2">
      <c r="A1046" s="1">
        <v>41697</v>
      </c>
      <c r="B1046">
        <v>607.32965490000004</v>
      </c>
      <c r="C1046" s="2">
        <f t="shared" si="73"/>
        <v>-7.8667992741766641E-4</v>
      </c>
      <c r="D1046">
        <v>-6.6473548619765559</v>
      </c>
      <c r="E1046" s="15">
        <v>1</v>
      </c>
      <c r="F1046">
        <f t="shared" si="76"/>
        <v>3.6326808146842451E-3</v>
      </c>
      <c r="G1046">
        <f t="shared" si="74"/>
        <v>275.27879574713495</v>
      </c>
      <c r="H1046">
        <f t="shared" si="75"/>
        <v>-4.8795455196213533</v>
      </c>
    </row>
    <row r="1047" spans="1:8" x14ac:dyDescent="0.2">
      <c r="A1047" s="1">
        <v>41698</v>
      </c>
      <c r="B1047">
        <v>605.55627489999995</v>
      </c>
      <c r="C1047" s="2">
        <f t="shared" si="73"/>
        <v>-2.9199628005849385E-3</v>
      </c>
      <c r="D1047">
        <v>2.7117545507611043</v>
      </c>
      <c r="E1047" s="15">
        <v>1</v>
      </c>
      <c r="F1047">
        <f t="shared" si="76"/>
        <v>9838.8442852051521</v>
      </c>
      <c r="G1047">
        <f t="shared" si="74"/>
        <v>1.0163795370801E-4</v>
      </c>
      <c r="H1047">
        <f t="shared" si="75"/>
        <v>-9370793097906016</v>
      </c>
    </row>
    <row r="1048" spans="1:8" x14ac:dyDescent="0.2">
      <c r="A1048" s="1">
        <v>41701</v>
      </c>
      <c r="B1048">
        <v>599.10045339999999</v>
      </c>
      <c r="C1048" s="2">
        <f t="shared" si="73"/>
        <v>-1.0660976968764883E-2</v>
      </c>
      <c r="D1048">
        <v>2.6510660227004381</v>
      </c>
      <c r="E1048" s="15">
        <v>0</v>
      </c>
      <c r="F1048">
        <f t="shared" si="76"/>
        <v>842.91982297687207</v>
      </c>
      <c r="G1048">
        <f t="shared" si="74"/>
        <v>0</v>
      </c>
      <c r="H1048" t="e">
        <f t="shared" si="75"/>
        <v>#NUM!</v>
      </c>
    </row>
    <row r="1049" spans="1:8" x14ac:dyDescent="0.2">
      <c r="A1049" s="1">
        <v>41702</v>
      </c>
      <c r="B1049">
        <v>605.18762219999996</v>
      </c>
      <c r="C1049" s="2">
        <f t="shared" si="73"/>
        <v>1.0160514427011736E-2</v>
      </c>
      <c r="D1049">
        <v>-1.953056596668445</v>
      </c>
      <c r="E1049" s="15">
        <v>0</v>
      </c>
      <c r="F1049">
        <f t="shared" si="76"/>
        <v>72.21788609498401</v>
      </c>
      <c r="G1049">
        <f t="shared" si="74"/>
        <v>0</v>
      </c>
      <c r="H1049" t="e">
        <f t="shared" si="75"/>
        <v>#NUM!</v>
      </c>
    </row>
    <row r="1050" spans="1:8" x14ac:dyDescent="0.2">
      <c r="A1050" s="1">
        <v>41703</v>
      </c>
      <c r="B1050">
        <v>606.85638730000005</v>
      </c>
      <c r="C1050" s="2">
        <f t="shared" si="73"/>
        <v>2.7574342877895149E-3</v>
      </c>
      <c r="D1050">
        <v>-0.72861272846000069</v>
      </c>
      <c r="E1050" s="15">
        <v>0</v>
      </c>
      <c r="F1050">
        <f t="shared" si="76"/>
        <v>6.190044486659569</v>
      </c>
      <c r="G1050">
        <f t="shared" si="74"/>
        <v>0</v>
      </c>
      <c r="H1050" t="e">
        <f t="shared" si="75"/>
        <v>#NUM!</v>
      </c>
    </row>
    <row r="1051" spans="1:8" x14ac:dyDescent="0.2">
      <c r="A1051" s="1">
        <v>41704</v>
      </c>
      <c r="B1051">
        <v>607.5288736</v>
      </c>
      <c r="C1051" s="2">
        <f t="shared" si="73"/>
        <v>1.1081473542561588E-3</v>
      </c>
      <c r="D1051">
        <v>-0.59812374889103881</v>
      </c>
      <c r="E1051" s="15">
        <v>0</v>
      </c>
      <c r="F1051">
        <f t="shared" si="76"/>
        <v>0.53328451393601439</v>
      </c>
      <c r="G1051">
        <f t="shared" si="74"/>
        <v>0</v>
      </c>
      <c r="H1051" t="e">
        <f t="shared" si="75"/>
        <v>#NUM!</v>
      </c>
    </row>
    <row r="1052" spans="1:8" x14ac:dyDescent="0.2">
      <c r="A1052" s="1">
        <v>41705</v>
      </c>
      <c r="B1052">
        <v>605.12786870000002</v>
      </c>
      <c r="C1052" s="2">
        <f t="shared" si="73"/>
        <v>-3.9520836034878052E-3</v>
      </c>
      <c r="D1052">
        <v>-4.5663881597593416</v>
      </c>
      <c r="E1052" s="15">
        <v>0</v>
      </c>
      <c r="F1052">
        <f t="shared" si="76"/>
        <v>4.8656626524151238E-2</v>
      </c>
      <c r="G1052">
        <f t="shared" si="74"/>
        <v>0</v>
      </c>
      <c r="H1052" t="e">
        <f t="shared" si="75"/>
        <v>#NUM!</v>
      </c>
    </row>
    <row r="1053" spans="1:8" x14ac:dyDescent="0.2">
      <c r="A1053" s="1">
        <v>41708</v>
      </c>
      <c r="B1053">
        <v>603.52386190000004</v>
      </c>
      <c r="C1053" s="2">
        <f t="shared" si="73"/>
        <v>-2.6506906770727267E-3</v>
      </c>
      <c r="D1053">
        <v>-0.32929286345728342</v>
      </c>
      <c r="E1053" s="15">
        <v>1</v>
      </c>
      <c r="F1053">
        <f t="shared" si="76"/>
        <v>7.1374193472899354E-3</v>
      </c>
      <c r="G1053">
        <f t="shared" si="74"/>
        <v>140.1066619939738</v>
      </c>
      <c r="H1053">
        <f t="shared" si="75"/>
        <v>-4.2929175750715469</v>
      </c>
    </row>
    <row r="1054" spans="1:8" x14ac:dyDescent="0.2">
      <c r="A1054" s="1">
        <v>41709</v>
      </c>
      <c r="B1054">
        <v>597.75548070000002</v>
      </c>
      <c r="C1054" s="2">
        <f t="shared" si="73"/>
        <v>-9.5578345184896846E-3</v>
      </c>
      <c r="D1054">
        <v>2.6057902195682892</v>
      </c>
      <c r="E1054" s="15">
        <v>0</v>
      </c>
      <c r="F1054">
        <f t="shared" si="76"/>
        <v>2548.6875975456205</v>
      </c>
      <c r="G1054">
        <f t="shared" si="74"/>
        <v>0</v>
      </c>
      <c r="H1054" t="e">
        <f t="shared" si="75"/>
        <v>#NUM!</v>
      </c>
    </row>
    <row r="1055" spans="1:8" x14ac:dyDescent="0.2">
      <c r="A1055" s="1">
        <v>41710</v>
      </c>
      <c r="B1055">
        <v>601.39684399999999</v>
      </c>
      <c r="C1055" s="2">
        <f t="shared" si="73"/>
        <v>6.0917271653214405E-3</v>
      </c>
      <c r="D1055">
        <v>-1.6373543247204123</v>
      </c>
      <c r="E1055" s="15">
        <v>0</v>
      </c>
      <c r="F1055">
        <f t="shared" si="76"/>
        <v>218.35500999463491</v>
      </c>
      <c r="G1055">
        <f t="shared" si="74"/>
        <v>0</v>
      </c>
      <c r="H1055" t="e">
        <f t="shared" si="75"/>
        <v>#NUM!</v>
      </c>
    </row>
    <row r="1056" spans="1:8" x14ac:dyDescent="0.2">
      <c r="A1056" s="1">
        <v>41711</v>
      </c>
      <c r="B1056">
        <v>592.31089139999995</v>
      </c>
      <c r="C1056" s="2">
        <f t="shared" si="73"/>
        <v>-1.5108081611416042E-2</v>
      </c>
      <c r="D1056">
        <v>-3.4800982055503527</v>
      </c>
      <c r="E1056" s="15">
        <v>0</v>
      </c>
      <c r="F1056">
        <f t="shared" si="76"/>
        <v>18.709954465062783</v>
      </c>
      <c r="G1056">
        <f t="shared" si="74"/>
        <v>0</v>
      </c>
      <c r="H1056" t="e">
        <f t="shared" si="75"/>
        <v>#NUM!</v>
      </c>
    </row>
    <row r="1057" spans="1:8" x14ac:dyDescent="0.2">
      <c r="A1057" s="1">
        <v>41712</v>
      </c>
      <c r="B1057">
        <v>584.21126770000001</v>
      </c>
      <c r="C1057" s="2">
        <f t="shared" si="73"/>
        <v>-1.3674615506149949E-2</v>
      </c>
      <c r="D1057">
        <v>-9.4880749398582126E-2</v>
      </c>
      <c r="E1057" s="15">
        <v>0</v>
      </c>
      <c r="F1057">
        <f t="shared" si="76"/>
        <v>1.6058945508966145</v>
      </c>
      <c r="G1057">
        <f t="shared" si="74"/>
        <v>0</v>
      </c>
      <c r="H1057" t="e">
        <f t="shared" si="75"/>
        <v>#NUM!</v>
      </c>
    </row>
    <row r="1058" spans="1:8" x14ac:dyDescent="0.2">
      <c r="A1058" s="1">
        <v>41715</v>
      </c>
      <c r="B1058">
        <v>593.8252367</v>
      </c>
      <c r="C1058" s="2">
        <f t="shared" si="73"/>
        <v>1.6456322449667118E-2</v>
      </c>
      <c r="D1058">
        <v>-2.2034212181151376</v>
      </c>
      <c r="E1058" s="15">
        <v>0</v>
      </c>
      <c r="F1058">
        <f t="shared" si="76"/>
        <v>0.14054964279768783</v>
      </c>
      <c r="G1058">
        <f t="shared" si="74"/>
        <v>0</v>
      </c>
      <c r="H1058" t="e">
        <f t="shared" si="75"/>
        <v>#NUM!</v>
      </c>
    </row>
    <row r="1059" spans="1:8" x14ac:dyDescent="0.2">
      <c r="A1059" s="1">
        <v>41716</v>
      </c>
      <c r="B1059">
        <v>603.36944270000004</v>
      </c>
      <c r="C1059" s="2">
        <f t="shared" si="73"/>
        <v>1.6072415603349904E-2</v>
      </c>
      <c r="D1059">
        <v>-2.3328835922571498E-2</v>
      </c>
      <c r="E1059" s="15">
        <v>0</v>
      </c>
      <c r="F1059">
        <f t="shared" si="76"/>
        <v>1.5010109466596217E-2</v>
      </c>
      <c r="G1059">
        <f t="shared" si="74"/>
        <v>0</v>
      </c>
      <c r="H1059" t="e">
        <f t="shared" si="75"/>
        <v>#NUM!</v>
      </c>
    </row>
    <row r="1060" spans="1:8" x14ac:dyDescent="0.2">
      <c r="A1060" s="1">
        <v>41717</v>
      </c>
      <c r="B1060">
        <v>597.38688879999995</v>
      </c>
      <c r="C1060" s="2">
        <f t="shared" si="73"/>
        <v>-9.9152417683416837E-3</v>
      </c>
      <c r="D1060">
        <v>-1.6169104889420041</v>
      </c>
      <c r="E1060" s="15">
        <v>0</v>
      </c>
      <c r="F1060">
        <f t="shared" si="76"/>
        <v>4.2548433569710008E-3</v>
      </c>
      <c r="G1060">
        <f t="shared" si="74"/>
        <v>0</v>
      </c>
      <c r="H1060" t="e">
        <f t="shared" si="75"/>
        <v>#NUM!</v>
      </c>
    </row>
    <row r="1061" spans="1:8" x14ac:dyDescent="0.2">
      <c r="A1061" s="1">
        <v>41718</v>
      </c>
      <c r="B1061">
        <v>596.3457492</v>
      </c>
      <c r="C1061" s="2">
        <f t="shared" si="73"/>
        <v>-1.7428229837640713E-3</v>
      </c>
      <c r="D1061">
        <v>-0.82422788828723059</v>
      </c>
      <c r="E1061" s="15">
        <v>1</v>
      </c>
      <c r="F1061">
        <f t="shared" si="76"/>
        <v>3.3334144969180057E-3</v>
      </c>
      <c r="G1061">
        <f t="shared" si="74"/>
        <v>299.99269545523839</v>
      </c>
      <c r="H1061">
        <f t="shared" si="75"/>
        <v>-4.9542213604821006</v>
      </c>
    </row>
    <row r="1062" spans="1:8" x14ac:dyDescent="0.2">
      <c r="A1062" s="1">
        <v>41719</v>
      </c>
      <c r="B1062">
        <v>589.31210650000003</v>
      </c>
      <c r="C1062" s="2">
        <f t="shared" si="73"/>
        <v>-1.1794571705148617E-2</v>
      </c>
      <c r="D1062">
        <v>5.7675098475435682</v>
      </c>
      <c r="E1062" s="15">
        <v>1</v>
      </c>
      <c r="F1062">
        <f t="shared" si="76"/>
        <v>11684.762898720472</v>
      </c>
      <c r="G1062">
        <f t="shared" si="74"/>
        <v>8.5581539708392716E-5</v>
      </c>
      <c r="H1062">
        <f t="shared" si="75"/>
        <v>-1.864144686642464E+16</v>
      </c>
    </row>
    <row r="1063" spans="1:8" x14ac:dyDescent="0.2">
      <c r="A1063" s="1">
        <v>41722</v>
      </c>
      <c r="B1063">
        <v>576.80396759999996</v>
      </c>
      <c r="C1063" s="2">
        <f t="shared" si="73"/>
        <v>-2.1224982080017836E-2</v>
      </c>
      <c r="D1063">
        <v>0.79955513524519217</v>
      </c>
      <c r="E1063" s="15">
        <v>0</v>
      </c>
      <c r="F1063">
        <f t="shared" si="76"/>
        <v>1001.0639977895861</v>
      </c>
      <c r="G1063">
        <f t="shared" si="74"/>
        <v>0</v>
      </c>
      <c r="H1063" t="e">
        <f t="shared" si="75"/>
        <v>#NUM!</v>
      </c>
    </row>
    <row r="1064" spans="1:8" x14ac:dyDescent="0.2">
      <c r="A1064" s="1">
        <v>41723</v>
      </c>
      <c r="B1064">
        <v>577.19752300000005</v>
      </c>
      <c r="C1064" s="2">
        <f t="shared" si="73"/>
        <v>6.8230355910624295E-4</v>
      </c>
      <c r="D1064">
        <v>-1.0321462490066644</v>
      </c>
      <c r="E1064" s="15">
        <v>0</v>
      </c>
      <c r="F1064">
        <f t="shared" si="76"/>
        <v>85.766468271978454</v>
      </c>
      <c r="G1064">
        <f t="shared" si="74"/>
        <v>0</v>
      </c>
      <c r="H1064" t="e">
        <f t="shared" si="75"/>
        <v>#NUM!</v>
      </c>
    </row>
    <row r="1065" spans="1:8" x14ac:dyDescent="0.2">
      <c r="A1065" s="1">
        <v>41724</v>
      </c>
      <c r="B1065">
        <v>563.87242670000001</v>
      </c>
      <c r="C1065" s="2">
        <f t="shared" si="73"/>
        <v>-2.3085851496282391E-2</v>
      </c>
      <c r="D1065">
        <v>-34.835162059718414</v>
      </c>
      <c r="E1065" s="15">
        <v>0</v>
      </c>
      <c r="F1065">
        <f t="shared" si="76"/>
        <v>7.3507832822817392</v>
      </c>
      <c r="G1065">
        <f t="shared" si="74"/>
        <v>0</v>
      </c>
      <c r="H1065" t="e">
        <f t="shared" si="75"/>
        <v>#NUM!</v>
      </c>
    </row>
    <row r="1066" spans="1:8" x14ac:dyDescent="0.2">
      <c r="A1066" s="1">
        <v>41725</v>
      </c>
      <c r="B1066">
        <v>556.93349009999997</v>
      </c>
      <c r="C1066" s="2">
        <f t="shared" si="73"/>
        <v>-1.2305862587765427E-2</v>
      </c>
      <c r="D1066">
        <v>-0.46695218975366404</v>
      </c>
      <c r="E1066" s="15">
        <v>0</v>
      </c>
      <c r="F1066">
        <f t="shared" si="76"/>
        <v>0.63272772755508611</v>
      </c>
      <c r="G1066">
        <f t="shared" si="74"/>
        <v>0</v>
      </c>
      <c r="H1066" t="e">
        <f t="shared" si="75"/>
        <v>#NUM!</v>
      </c>
    </row>
    <row r="1067" spans="1:8" x14ac:dyDescent="0.2">
      <c r="A1067" s="1">
        <v>41726</v>
      </c>
      <c r="B1067">
        <v>558.45931499999995</v>
      </c>
      <c r="C1067" s="2">
        <f t="shared" si="73"/>
        <v>2.7396896166650099E-3</v>
      </c>
      <c r="D1067">
        <v>-1.2226328790140097</v>
      </c>
      <c r="E1067" s="15">
        <v>0</v>
      </c>
      <c r="F1067">
        <f t="shared" si="76"/>
        <v>5.7176159749184635E-2</v>
      </c>
      <c r="G1067">
        <f t="shared" si="74"/>
        <v>0</v>
      </c>
      <c r="H1067" t="e">
        <f t="shared" si="75"/>
        <v>#NUM!</v>
      </c>
    </row>
    <row r="1068" spans="1:8" x14ac:dyDescent="0.2">
      <c r="A1068" s="1">
        <v>41729</v>
      </c>
      <c r="B1068">
        <v>555.4475218</v>
      </c>
      <c r="C1068" s="2">
        <f t="shared" si="73"/>
        <v>-5.3930395985962616E-3</v>
      </c>
      <c r="D1068">
        <v>-2.968485614498602</v>
      </c>
      <c r="E1068" s="15">
        <v>0</v>
      </c>
      <c r="F1068">
        <f t="shared" si="76"/>
        <v>7.8673077301260243E-3</v>
      </c>
      <c r="G1068">
        <f t="shared" si="74"/>
        <v>0</v>
      </c>
      <c r="H1068" t="e">
        <f t="shared" si="75"/>
        <v>#NUM!</v>
      </c>
    </row>
    <row r="1069" spans="1:8" x14ac:dyDescent="0.2">
      <c r="A1069" s="1">
        <v>41730</v>
      </c>
      <c r="B1069">
        <v>565.60967659999994</v>
      </c>
      <c r="C1069" s="2">
        <f t="shared" si="73"/>
        <v>1.8295436384463744E-2</v>
      </c>
      <c r="D1069">
        <v>-4.3924164749737438</v>
      </c>
      <c r="E1069" s="15">
        <v>0</v>
      </c>
      <c r="F1069">
        <f t="shared" si="76"/>
        <v>3.6429027880872404E-3</v>
      </c>
      <c r="G1069">
        <f t="shared" si="74"/>
        <v>0</v>
      </c>
      <c r="H1069" t="e">
        <f t="shared" si="75"/>
        <v>#NUM!</v>
      </c>
    </row>
    <row r="1070" spans="1:8" x14ac:dyDescent="0.2">
      <c r="A1070" s="1">
        <v>41731</v>
      </c>
      <c r="B1070">
        <v>565.45013070000005</v>
      </c>
      <c r="C1070" s="2">
        <f t="shared" si="73"/>
        <v>-2.8207774124191533E-4</v>
      </c>
      <c r="D1070">
        <v>-1.0154179291116254</v>
      </c>
      <c r="E1070" s="15">
        <v>0</v>
      </c>
      <c r="F1070">
        <f t="shared" si="76"/>
        <v>3.2809881138736912E-3</v>
      </c>
      <c r="G1070">
        <f t="shared" si="74"/>
        <v>0</v>
      </c>
      <c r="H1070" t="e">
        <f t="shared" si="75"/>
        <v>#NUM!</v>
      </c>
    </row>
    <row r="1071" spans="1:8" x14ac:dyDescent="0.2">
      <c r="A1071" s="1">
        <v>41732</v>
      </c>
      <c r="B1071">
        <v>568.18262560000005</v>
      </c>
      <c r="C1071" s="2">
        <f t="shared" si="73"/>
        <v>4.8324242079797715E-3</v>
      </c>
      <c r="D1071">
        <v>-18.1315332670485</v>
      </c>
      <c r="E1071" s="15">
        <v>0</v>
      </c>
      <c r="F1071">
        <f t="shared" si="76"/>
        <v>3.2499820353352341E-3</v>
      </c>
      <c r="G1071">
        <f t="shared" si="74"/>
        <v>0</v>
      </c>
      <c r="H1071" t="e">
        <f t="shared" si="75"/>
        <v>#NUM!</v>
      </c>
    </row>
    <row r="1072" spans="1:8" x14ac:dyDescent="0.2">
      <c r="A1072" s="1">
        <v>41733</v>
      </c>
      <c r="B1072">
        <v>541.65534530000002</v>
      </c>
      <c r="C1072" s="2">
        <f t="shared" si="73"/>
        <v>-4.6687946981812861E-2</v>
      </c>
      <c r="D1072">
        <v>-10.661392496279023</v>
      </c>
      <c r="E1072" s="15">
        <v>0</v>
      </c>
      <c r="F1072">
        <f t="shared" si="76"/>
        <v>3.2473256719025493E-3</v>
      </c>
      <c r="G1072">
        <f t="shared" si="74"/>
        <v>0</v>
      </c>
      <c r="H1072" t="e">
        <f t="shared" si="75"/>
        <v>#NUM!</v>
      </c>
    </row>
    <row r="1073" spans="1:8" x14ac:dyDescent="0.2">
      <c r="A1073" s="1">
        <v>41736</v>
      </c>
      <c r="B1073">
        <v>536.67900380000003</v>
      </c>
      <c r="C1073" s="2">
        <f t="shared" si="73"/>
        <v>-9.1872840232820087E-3</v>
      </c>
      <c r="D1073">
        <v>-0.80321936137262828</v>
      </c>
      <c r="E1073" s="15">
        <v>0</v>
      </c>
      <c r="F1073">
        <f t="shared" si="76"/>
        <v>3.2470980950202372E-3</v>
      </c>
      <c r="G1073">
        <f t="shared" si="74"/>
        <v>0</v>
      </c>
      <c r="H1073" t="e">
        <f t="shared" si="75"/>
        <v>#NUM!</v>
      </c>
    </row>
    <row r="1074" spans="1:8" x14ac:dyDescent="0.2">
      <c r="A1074" s="1">
        <v>41737</v>
      </c>
      <c r="B1074">
        <v>553.38318149999998</v>
      </c>
      <c r="C1074" s="2">
        <f t="shared" si="73"/>
        <v>3.1125081439230221E-2</v>
      </c>
      <c r="D1074">
        <v>-4.3878436064841813</v>
      </c>
      <c r="E1074" s="15">
        <v>0</v>
      </c>
      <c r="F1074">
        <f t="shared" si="76"/>
        <v>3.2470785979752449E-3</v>
      </c>
      <c r="G1074">
        <f t="shared" si="74"/>
        <v>0</v>
      </c>
      <c r="H1074" t="e">
        <f t="shared" si="75"/>
        <v>#NUM!</v>
      </c>
    </row>
    <row r="1075" spans="1:8" x14ac:dyDescent="0.2">
      <c r="A1075" s="1">
        <v>41738</v>
      </c>
      <c r="B1075">
        <v>562.59794429999999</v>
      </c>
      <c r="C1075" s="2">
        <f t="shared" si="73"/>
        <v>1.6651685681922043E-2</v>
      </c>
      <c r="D1075">
        <v>-0.46500748232792838</v>
      </c>
      <c r="E1075" s="15">
        <v>0</v>
      </c>
      <c r="F1075">
        <f t="shared" si="76"/>
        <v>3.2470769276176955E-3</v>
      </c>
      <c r="G1075">
        <f t="shared" si="74"/>
        <v>0</v>
      </c>
      <c r="H1075" t="e">
        <f t="shared" si="75"/>
        <v>#NUM!</v>
      </c>
    </row>
    <row r="1076" spans="1:8" x14ac:dyDescent="0.2">
      <c r="A1076" s="1">
        <v>41739</v>
      </c>
      <c r="B1076">
        <v>539.47131449999995</v>
      </c>
      <c r="C1076" s="2">
        <f t="shared" si="73"/>
        <v>-4.1106850876916803E-2</v>
      </c>
      <c r="D1076">
        <v>-3.4686300031200199</v>
      </c>
      <c r="E1076" s="15">
        <v>0</v>
      </c>
      <c r="F1076">
        <f t="shared" si="76"/>
        <v>3.2470767845142485E-3</v>
      </c>
      <c r="G1076">
        <f t="shared" si="74"/>
        <v>0</v>
      </c>
      <c r="H1076" t="e">
        <f t="shared" si="75"/>
        <v>#NUM!</v>
      </c>
    </row>
    <row r="1077" spans="1:8" x14ac:dyDescent="0.2">
      <c r="A1077" s="1">
        <v>41740</v>
      </c>
      <c r="B1077">
        <v>529.14961170000004</v>
      </c>
      <c r="C1077" s="2">
        <f t="shared" si="73"/>
        <v>-1.9132996551570886E-2</v>
      </c>
      <c r="D1077">
        <v>-0.53455455372002592</v>
      </c>
      <c r="E1077" s="15">
        <v>0</v>
      </c>
      <c r="F1077">
        <f t="shared" si="76"/>
        <v>3.2470767722542408E-3</v>
      </c>
      <c r="G1077">
        <f t="shared" si="74"/>
        <v>0</v>
      </c>
      <c r="H1077" t="e">
        <f t="shared" si="75"/>
        <v>#NUM!</v>
      </c>
    </row>
    <row r="1078" spans="1:8" x14ac:dyDescent="0.2">
      <c r="A1078" s="1">
        <v>41743</v>
      </c>
      <c r="B1078">
        <v>531.06435480000005</v>
      </c>
      <c r="C1078" s="2">
        <f t="shared" si="73"/>
        <v>3.6185287821501192E-3</v>
      </c>
      <c r="D1078">
        <v>-1.1891250423004454</v>
      </c>
      <c r="E1078" s="15">
        <v>1</v>
      </c>
      <c r="F1078">
        <f t="shared" si="76"/>
        <v>3.2470767712038974E-3</v>
      </c>
      <c r="G1078">
        <f t="shared" si="74"/>
        <v>307.96931223441214</v>
      </c>
      <c r="H1078">
        <f t="shared" si="75"/>
        <v>-4.9770148864156321</v>
      </c>
    </row>
    <row r="1079" spans="1:8" x14ac:dyDescent="0.2">
      <c r="A1079" s="1">
        <v>41744</v>
      </c>
      <c r="B1079">
        <v>534.97367380000003</v>
      </c>
      <c r="C1079" s="2">
        <f t="shared" si="73"/>
        <v>7.3612905190600488E-3</v>
      </c>
      <c r="D1079">
        <v>1.0343324489700456</v>
      </c>
      <c r="E1079" s="15">
        <v>1</v>
      </c>
      <c r="F1079">
        <f t="shared" si="76"/>
        <v>12314.404748536605</v>
      </c>
      <c r="G1079">
        <f t="shared" si="74"/>
        <v>8.1205711556527817E-5</v>
      </c>
      <c r="H1079">
        <f t="shared" si="75"/>
        <v>-2.2996073885006552E+16</v>
      </c>
    </row>
    <row r="1080" spans="1:8" x14ac:dyDescent="0.2">
      <c r="A1080" s="1">
        <v>41745</v>
      </c>
      <c r="B1080">
        <v>555.01868620000005</v>
      </c>
      <c r="C1080" s="2">
        <f t="shared" si="73"/>
        <v>3.7469156673855038E-2</v>
      </c>
      <c r="D1080">
        <v>4.0900255297408661</v>
      </c>
      <c r="E1080" s="15">
        <v>0</v>
      </c>
      <c r="F1080">
        <f t="shared" si="76"/>
        <v>1055.0068910665368</v>
      </c>
      <c r="G1080">
        <f t="shared" si="74"/>
        <v>0</v>
      </c>
      <c r="H1080" t="e">
        <f t="shared" si="75"/>
        <v>#NUM!</v>
      </c>
    </row>
    <row r="1081" spans="1:8" x14ac:dyDescent="0.2">
      <c r="A1081" s="1">
        <v>41746</v>
      </c>
      <c r="B1081">
        <v>534.63456080000003</v>
      </c>
      <c r="C1081" s="2">
        <f t="shared" si="73"/>
        <v>-3.672691732158119E-2</v>
      </c>
      <c r="D1081">
        <v>-1.9801906576458455</v>
      </c>
      <c r="E1081" s="15">
        <v>0</v>
      </c>
      <c r="F1081">
        <f t="shared" si="76"/>
        <v>90.387882391677365</v>
      </c>
      <c r="G1081">
        <f t="shared" si="74"/>
        <v>0</v>
      </c>
      <c r="H1081" t="e">
        <f t="shared" si="75"/>
        <v>#NUM!</v>
      </c>
    </row>
    <row r="1082" spans="1:8" x14ac:dyDescent="0.2">
      <c r="A1082" s="1">
        <v>41750</v>
      </c>
      <c r="B1082">
        <v>527.17505489999996</v>
      </c>
      <c r="C1082" s="2">
        <f t="shared" si="73"/>
        <v>-1.3952532153622918E-2</v>
      </c>
      <c r="D1082">
        <v>-0.62010064630651052</v>
      </c>
      <c r="E1082" s="15">
        <v>0</v>
      </c>
      <c r="F1082">
        <f t="shared" si="76"/>
        <v>7.7467106634123741</v>
      </c>
      <c r="G1082">
        <f t="shared" si="74"/>
        <v>0</v>
      </c>
      <c r="H1082" t="e">
        <f t="shared" si="75"/>
        <v>#NUM!</v>
      </c>
    </row>
    <row r="1083" spans="1:8" x14ac:dyDescent="0.2">
      <c r="A1083" s="1">
        <v>41751</v>
      </c>
      <c r="B1083">
        <v>533.34811769999999</v>
      </c>
      <c r="C1083" s="2">
        <f t="shared" si="73"/>
        <v>1.1709702010029658E-2</v>
      </c>
      <c r="D1083">
        <v>-1.8392528238674666</v>
      </c>
      <c r="E1083" s="15">
        <v>0</v>
      </c>
      <c r="F1083">
        <f t="shared" si="76"/>
        <v>0.66664775442754831</v>
      </c>
      <c r="G1083">
        <f t="shared" si="74"/>
        <v>0</v>
      </c>
      <c r="H1083" t="e">
        <f t="shared" si="75"/>
        <v>#NUM!</v>
      </c>
    </row>
    <row r="1084" spans="1:8" x14ac:dyDescent="0.2">
      <c r="A1084" s="1">
        <v>41752</v>
      </c>
      <c r="B1084">
        <v>525.49963179999997</v>
      </c>
      <c r="C1084" s="2">
        <f t="shared" si="73"/>
        <v>-1.4715503138636116E-2</v>
      </c>
      <c r="D1084">
        <v>-2.2566932212307291</v>
      </c>
      <c r="E1084" s="15">
        <v>0</v>
      </c>
      <c r="F1084">
        <f t="shared" si="76"/>
        <v>6.0082167966507019E-2</v>
      </c>
      <c r="G1084">
        <f t="shared" si="74"/>
        <v>0</v>
      </c>
      <c r="H1084" t="e">
        <f t="shared" si="75"/>
        <v>#NUM!</v>
      </c>
    </row>
    <row r="1085" spans="1:8" x14ac:dyDescent="0.2">
      <c r="A1085" s="1">
        <v>41753</v>
      </c>
      <c r="B1085">
        <v>523.72447739999996</v>
      </c>
      <c r="C1085" s="2">
        <f t="shared" si="73"/>
        <v>-3.3780316722954924E-3</v>
      </c>
      <c r="D1085">
        <v>-0.77044402488513353</v>
      </c>
      <c r="E1085" s="15">
        <v>1</v>
      </c>
      <c r="F1085">
        <f t="shared" si="76"/>
        <v>8.1162722663540646E-3</v>
      </c>
      <c r="G1085">
        <f t="shared" si="74"/>
        <v>123.20927233374012</v>
      </c>
      <c r="H1085">
        <f t="shared" si="75"/>
        <v>-4.1812867896690253</v>
      </c>
    </row>
    <row r="1086" spans="1:8" x14ac:dyDescent="0.2">
      <c r="A1086" s="1">
        <v>41754</v>
      </c>
      <c r="B1086">
        <v>514.76905360000001</v>
      </c>
      <c r="C1086" s="2">
        <f t="shared" si="73"/>
        <v>-1.7099494460252527E-2</v>
      </c>
      <c r="D1086">
        <v>4.0619698448927846</v>
      </c>
      <c r="E1086" s="15">
        <v>0</v>
      </c>
      <c r="F1086">
        <f t="shared" si="76"/>
        <v>1970.9972381701375</v>
      </c>
      <c r="G1086">
        <f t="shared" si="74"/>
        <v>0</v>
      </c>
      <c r="H1086" t="e">
        <f t="shared" si="75"/>
        <v>#NUM!</v>
      </c>
    </row>
    <row r="1087" spans="1:8" x14ac:dyDescent="0.2">
      <c r="A1087" s="1">
        <v>41757</v>
      </c>
      <c r="B1087">
        <v>515.73640469999998</v>
      </c>
      <c r="C1087" s="2">
        <f t="shared" si="73"/>
        <v>1.879194355672459E-3</v>
      </c>
      <c r="D1087">
        <v>-1.1098976557488651</v>
      </c>
      <c r="E1087" s="15">
        <v>1</v>
      </c>
      <c r="F1087">
        <f t="shared" si="76"/>
        <v>168.86292268806568</v>
      </c>
      <c r="G1087">
        <f t="shared" si="74"/>
        <v>5.9219631170737436E-3</v>
      </c>
      <c r="H1087">
        <f t="shared" si="75"/>
        <v>-813087350.79194868</v>
      </c>
    </row>
    <row r="1088" spans="1:8" x14ac:dyDescent="0.2">
      <c r="A1088" s="1">
        <v>41758</v>
      </c>
      <c r="B1088">
        <v>526.25756980000006</v>
      </c>
      <c r="C1088" s="2">
        <f t="shared" si="73"/>
        <v>2.0400276195589023E-2</v>
      </c>
      <c r="D1088">
        <v>9.8558628510188875</v>
      </c>
      <c r="E1088" s="15">
        <v>0</v>
      </c>
      <c r="F1088">
        <f t="shared" si="76"/>
        <v>14.469855879740976</v>
      </c>
      <c r="G1088">
        <f t="shared" si="74"/>
        <v>0</v>
      </c>
      <c r="H1088" t="e">
        <f t="shared" si="75"/>
        <v>#NUM!</v>
      </c>
    </row>
    <row r="1089" spans="1:8" x14ac:dyDescent="0.2">
      <c r="A1089" s="1">
        <v>41759</v>
      </c>
      <c r="B1089">
        <v>525.22039540000003</v>
      </c>
      <c r="C1089" s="2">
        <f t="shared" si="73"/>
        <v>-1.9708493701937552E-3</v>
      </c>
      <c r="D1089">
        <v>-1.0966089552561986</v>
      </c>
      <c r="E1089" s="15">
        <v>0</v>
      </c>
      <c r="F1089">
        <f t="shared" si="76"/>
        <v>1.2426353654740483</v>
      </c>
      <c r="G1089">
        <f t="shared" si="74"/>
        <v>0</v>
      </c>
      <c r="H1089" t="e">
        <f t="shared" si="75"/>
        <v>#NUM!</v>
      </c>
    </row>
    <row r="1090" spans="1:8" x14ac:dyDescent="0.2">
      <c r="A1090" s="1">
        <v>41760</v>
      </c>
      <c r="B1090">
        <v>529.89760109999997</v>
      </c>
      <c r="C1090" s="2">
        <f t="shared" si="73"/>
        <v>8.9052248179316319E-3</v>
      </c>
      <c r="D1090">
        <v>-5.5184705399663061</v>
      </c>
      <c r="E1090" s="15">
        <v>0</v>
      </c>
      <c r="F1090">
        <f t="shared" si="76"/>
        <v>0.1094283768321581</v>
      </c>
      <c r="G1090">
        <f t="shared" si="74"/>
        <v>0</v>
      </c>
      <c r="H1090" t="e">
        <f t="shared" si="75"/>
        <v>#NUM!</v>
      </c>
    </row>
    <row r="1091" spans="1:8" x14ac:dyDescent="0.2">
      <c r="A1091" s="1">
        <v>41761</v>
      </c>
      <c r="B1091">
        <v>526.48694109999997</v>
      </c>
      <c r="C1091" s="2">
        <f t="shared" si="73"/>
        <v>-6.4364511047415784E-3</v>
      </c>
      <c r="D1091">
        <v>-1.7227724438557788</v>
      </c>
      <c r="E1091" s="15">
        <v>0</v>
      </c>
      <c r="F1091">
        <f t="shared" si="76"/>
        <v>1.234387765701216E-2</v>
      </c>
      <c r="G1091">
        <f t="shared" si="74"/>
        <v>0</v>
      </c>
      <c r="H1091" t="e">
        <f t="shared" si="75"/>
        <v>#NUM!</v>
      </c>
    </row>
    <row r="1092" spans="1:8" x14ac:dyDescent="0.2">
      <c r="A1092" s="1">
        <v>41764</v>
      </c>
      <c r="B1092">
        <v>526.3672507</v>
      </c>
      <c r="C1092" s="2">
        <f t="shared" ref="C1092:C1155" si="77">(B1092-B1091)/B1091</f>
        <v>-2.2733783244442124E-4</v>
      </c>
      <c r="D1092">
        <v>-0.96467963032035664</v>
      </c>
      <c r="E1092" s="15">
        <v>1</v>
      </c>
      <c r="F1092">
        <f t="shared" si="76"/>
        <v>4.0264210276765673E-3</v>
      </c>
      <c r="G1092">
        <f t="shared" si="74"/>
        <v>248.359521551835</v>
      </c>
      <c r="H1092">
        <f t="shared" si="75"/>
        <v>-4.7901616293332374</v>
      </c>
    </row>
    <row r="1093" spans="1:8" x14ac:dyDescent="0.2">
      <c r="A1093" s="1">
        <v>41765</v>
      </c>
      <c r="B1093">
        <v>513.73187910000001</v>
      </c>
      <c r="C1093" s="2">
        <f t="shared" si="77"/>
        <v>-2.4004858932991337E-2</v>
      </c>
      <c r="D1093">
        <v>104.59113137871569</v>
      </c>
      <c r="E1093" s="15">
        <v>0</v>
      </c>
      <c r="F1093">
        <f t="shared" si="76"/>
        <v>8008.6669206031838</v>
      </c>
      <c r="G1093">
        <f t="shared" si="74"/>
        <v>0</v>
      </c>
      <c r="H1093" t="e">
        <f t="shared" si="75"/>
        <v>#NUM!</v>
      </c>
    </row>
    <row r="1094" spans="1:8" x14ac:dyDescent="0.2">
      <c r="A1094" s="1">
        <v>41766</v>
      </c>
      <c r="B1094">
        <v>508.56605289999999</v>
      </c>
      <c r="C1094" s="2">
        <f t="shared" si="77"/>
        <v>-1.0055490831228866E-2</v>
      </c>
      <c r="D1094">
        <v>-0.58110602277237322</v>
      </c>
      <c r="E1094" s="15">
        <v>0</v>
      </c>
      <c r="F1094">
        <f t="shared" si="76"/>
        <v>686.12423785739088</v>
      </c>
      <c r="G1094">
        <f t="shared" si="74"/>
        <v>0</v>
      </c>
      <c r="H1094" t="e">
        <f t="shared" si="75"/>
        <v>#NUM!</v>
      </c>
    </row>
    <row r="1095" spans="1:8" x14ac:dyDescent="0.2">
      <c r="A1095" s="1">
        <v>41767</v>
      </c>
      <c r="B1095">
        <v>509.6031974</v>
      </c>
      <c r="C1095" s="2">
        <f t="shared" si="77"/>
        <v>2.039350629256306E-3</v>
      </c>
      <c r="D1095">
        <v>-1.2028096552903007</v>
      </c>
      <c r="E1095" s="15">
        <v>1</v>
      </c>
      <c r="F1095">
        <f t="shared" si="76"/>
        <v>58.784840758366073</v>
      </c>
      <c r="G1095">
        <f t="shared" si="74"/>
        <v>1.7011188379508931E-2</v>
      </c>
      <c r="H1095">
        <f t="shared" si="75"/>
        <v>-11941565.239415905</v>
      </c>
    </row>
    <row r="1096" spans="1:8" x14ac:dyDescent="0.2">
      <c r="A1096" s="1">
        <v>41768</v>
      </c>
      <c r="B1096">
        <v>517.31209460000002</v>
      </c>
      <c r="C1096" s="2">
        <f t="shared" si="77"/>
        <v>1.5127254380135144E-2</v>
      </c>
      <c r="D1096">
        <v>6.4176819636217379</v>
      </c>
      <c r="E1096" s="15">
        <v>1</v>
      </c>
      <c r="F1096">
        <f t="shared" si="76"/>
        <v>5.0392415752889734</v>
      </c>
      <c r="G1096">
        <f t="shared" ref="G1096:G1159" si="78">E1096/F1096</f>
        <v>0.19844256026615581</v>
      </c>
      <c r="H1096">
        <f t="shared" ref="H1096:H1159" si="79">-LOG(G1096^2)-(F1096^2)/(G1096^2)</f>
        <v>-643.44825340661987</v>
      </c>
    </row>
    <row r="1097" spans="1:8" x14ac:dyDescent="0.2">
      <c r="A1097" s="1">
        <v>41771</v>
      </c>
      <c r="B1097">
        <v>528.47150850000003</v>
      </c>
      <c r="C1097" s="2">
        <f t="shared" si="77"/>
        <v>2.1571917642151342E-2</v>
      </c>
      <c r="D1097">
        <v>0.42602993907997094</v>
      </c>
      <c r="E1097" s="15">
        <v>0</v>
      </c>
      <c r="F1097">
        <f t="shared" ref="F1097:F1160" si="80" xml:space="preserve"> $K$5 + $K$6 * G1096 ^ 2 + $K$7 * F1096</f>
        <v>0.43980543984764919</v>
      </c>
      <c r="G1097">
        <f t="shared" si="78"/>
        <v>0</v>
      </c>
      <c r="H1097" t="e">
        <f t="shared" si="79"/>
        <v>#NUM!</v>
      </c>
    </row>
    <row r="1098" spans="1:8" x14ac:dyDescent="0.2">
      <c r="A1098" s="1">
        <v>41772</v>
      </c>
      <c r="B1098">
        <v>531.63283899999999</v>
      </c>
      <c r="C1098" s="2">
        <f t="shared" si="77"/>
        <v>5.9820263706798537E-3</v>
      </c>
      <c r="D1098">
        <v>-0.72269380636837655</v>
      </c>
      <c r="E1098" s="15">
        <v>0</v>
      </c>
      <c r="F1098">
        <f t="shared" si="80"/>
        <v>4.0648055113819734E-2</v>
      </c>
      <c r="G1098">
        <f t="shared" si="78"/>
        <v>0</v>
      </c>
      <c r="H1098" t="e">
        <f t="shared" si="79"/>
        <v>#NUM!</v>
      </c>
    </row>
    <row r="1099" spans="1:8" x14ac:dyDescent="0.2">
      <c r="A1099" s="1">
        <v>41773</v>
      </c>
      <c r="B1099">
        <v>525.21044670000003</v>
      </c>
      <c r="C1099" s="2">
        <f t="shared" si="77"/>
        <v>-1.2080503364089508E-2</v>
      </c>
      <c r="D1099">
        <v>-3.0194667518185088</v>
      </c>
      <c r="E1099" s="15">
        <v>1</v>
      </c>
      <c r="F1099">
        <f t="shared" si="80"/>
        <v>6.4513062609135065E-3</v>
      </c>
      <c r="G1099">
        <f t="shared" si="78"/>
        <v>155.00736743172379</v>
      </c>
      <c r="H1099">
        <f t="shared" si="79"/>
        <v>-4.3807046827037679</v>
      </c>
    </row>
    <row r="1100" spans="1:8" x14ac:dyDescent="0.2">
      <c r="A1100" s="1">
        <v>41774</v>
      </c>
      <c r="B1100">
        <v>518.55862130000003</v>
      </c>
      <c r="C1100" s="2">
        <f t="shared" si="77"/>
        <v>-1.2665066816158603E-2</v>
      </c>
      <c r="D1100">
        <v>4.8388997912683689E-2</v>
      </c>
      <c r="E1100" s="15">
        <v>0</v>
      </c>
      <c r="F1100">
        <f t="shared" si="80"/>
        <v>3119.6336357557193</v>
      </c>
      <c r="G1100">
        <f t="shared" si="78"/>
        <v>0</v>
      </c>
      <c r="H1100" t="e">
        <f t="shared" si="79"/>
        <v>#NUM!</v>
      </c>
    </row>
    <row r="1101" spans="1:8" x14ac:dyDescent="0.2">
      <c r="A1101" s="1">
        <v>41775</v>
      </c>
      <c r="B1101">
        <v>519.20687950000001</v>
      </c>
      <c r="C1101" s="2">
        <f t="shared" si="77"/>
        <v>1.2501155575715553E-3</v>
      </c>
      <c r="D1101">
        <v>-1.0987058004286727</v>
      </c>
      <c r="E1101" s="15">
        <v>1</v>
      </c>
      <c r="F1101">
        <f t="shared" si="80"/>
        <v>267.26929549696149</v>
      </c>
      <c r="G1101">
        <f t="shared" si="78"/>
        <v>3.7415446399879058E-3</v>
      </c>
      <c r="H1101">
        <f t="shared" si="79"/>
        <v>-5102655813.8433533</v>
      </c>
    </row>
    <row r="1102" spans="1:8" x14ac:dyDescent="0.2">
      <c r="A1102" s="1">
        <v>41778</v>
      </c>
      <c r="B1102">
        <v>527.41437480000002</v>
      </c>
      <c r="C1102" s="2">
        <f t="shared" si="77"/>
        <v>1.5807755297664549E-2</v>
      </c>
      <c r="D1102">
        <v>11.645035254478648</v>
      </c>
      <c r="E1102" s="15">
        <v>0</v>
      </c>
      <c r="F1102">
        <f t="shared" si="80"/>
        <v>22.900557786280515</v>
      </c>
      <c r="G1102">
        <f t="shared" si="78"/>
        <v>0</v>
      </c>
      <c r="H1102" t="e">
        <f t="shared" si="79"/>
        <v>#NUM!</v>
      </c>
    </row>
    <row r="1103" spans="1:8" x14ac:dyDescent="0.2">
      <c r="A1103" s="1">
        <v>41779</v>
      </c>
      <c r="B1103">
        <v>528.32191020000005</v>
      </c>
      <c r="C1103" s="2">
        <f t="shared" si="77"/>
        <v>1.7207255686653856E-3</v>
      </c>
      <c r="D1103">
        <v>-0.89114674814585426</v>
      </c>
      <c r="E1103" s="15">
        <v>1</v>
      </c>
      <c r="F1103">
        <f t="shared" si="80"/>
        <v>1.9649133610168326</v>
      </c>
      <c r="G1103">
        <f t="shared" si="78"/>
        <v>0.50892829161816333</v>
      </c>
      <c r="H1103">
        <f t="shared" si="79"/>
        <v>-14.319742436675872</v>
      </c>
    </row>
    <row r="1104" spans="1:8" x14ac:dyDescent="0.2">
      <c r="A1104" s="1">
        <v>41780</v>
      </c>
      <c r="B1104">
        <v>537.46684979999998</v>
      </c>
      <c r="C1104" s="2">
        <f t="shared" si="77"/>
        <v>1.7309408191187921E-2</v>
      </c>
      <c r="D1104">
        <v>9.0593659479432826</v>
      </c>
      <c r="E1104" s="15">
        <v>0</v>
      </c>
      <c r="F1104">
        <f t="shared" si="80"/>
        <v>0.20493644454066248</v>
      </c>
      <c r="G1104">
        <f t="shared" si="78"/>
        <v>0</v>
      </c>
      <c r="H1104" t="e">
        <f t="shared" si="79"/>
        <v>#NUM!</v>
      </c>
    </row>
    <row r="1105" spans="1:8" x14ac:dyDescent="0.2">
      <c r="A1105" s="1">
        <v>41781</v>
      </c>
      <c r="B1105">
        <v>543.57008729999995</v>
      </c>
      <c r="C1105" s="2">
        <f t="shared" si="77"/>
        <v>1.1355560816952878E-2</v>
      </c>
      <c r="D1105">
        <v>-0.3439659697473712</v>
      </c>
      <c r="E1105" s="15">
        <v>1</v>
      </c>
      <c r="F1105">
        <f t="shared" si="80"/>
        <v>2.0526277707137754E-2</v>
      </c>
      <c r="G1105">
        <f t="shared" si="78"/>
        <v>48.718039104199718</v>
      </c>
      <c r="H1105">
        <f t="shared" si="79"/>
        <v>-3.3753797768587779</v>
      </c>
    </row>
    <row r="1106" spans="1:8" x14ac:dyDescent="0.2">
      <c r="A1106" s="1">
        <v>41782</v>
      </c>
      <c r="B1106">
        <v>551.18920200000002</v>
      </c>
      <c r="C1106" s="2">
        <f t="shared" si="77"/>
        <v>1.4016802760147154E-2</v>
      </c>
      <c r="D1106">
        <v>0.23435583553225045</v>
      </c>
      <c r="E1106" s="15">
        <v>1</v>
      </c>
      <c r="F1106">
        <f t="shared" si="80"/>
        <v>308.16597407140284</v>
      </c>
      <c r="G1106">
        <f t="shared" si="78"/>
        <v>3.2450045888852658E-3</v>
      </c>
      <c r="H1106">
        <f t="shared" si="79"/>
        <v>-9018591972.2204418</v>
      </c>
    </row>
    <row r="1107" spans="1:8" x14ac:dyDescent="0.2">
      <c r="A1107" s="1">
        <v>41786</v>
      </c>
      <c r="B1107">
        <v>564.40300649999995</v>
      </c>
      <c r="C1107" s="2">
        <f t="shared" si="77"/>
        <v>2.3973264447223194E-2</v>
      </c>
      <c r="D1107">
        <v>0.71032330678037692</v>
      </c>
      <c r="E1107" s="15">
        <v>0</v>
      </c>
      <c r="F1107">
        <f t="shared" si="80"/>
        <v>26.404271659126042</v>
      </c>
      <c r="G1107">
        <f t="shared" si="78"/>
        <v>0</v>
      </c>
      <c r="H1107" t="e">
        <f t="shared" si="79"/>
        <v>#NUM!</v>
      </c>
    </row>
    <row r="1108" spans="1:8" x14ac:dyDescent="0.2">
      <c r="A1108" s="1">
        <v>41787</v>
      </c>
      <c r="B1108">
        <v>560.14468680000004</v>
      </c>
      <c r="C1108" s="2">
        <f t="shared" si="77"/>
        <v>-7.5448210781278013E-3</v>
      </c>
      <c r="D1108">
        <v>-1.3147181350598964</v>
      </c>
      <c r="E1108" s="15">
        <v>0</v>
      </c>
      <c r="F1108">
        <f t="shared" si="80"/>
        <v>2.2650847418921698</v>
      </c>
      <c r="G1108">
        <f t="shared" si="78"/>
        <v>0</v>
      </c>
      <c r="H1108" t="e">
        <f t="shared" si="79"/>
        <v>#NUM!</v>
      </c>
    </row>
    <row r="1109" spans="1:8" x14ac:dyDescent="0.2">
      <c r="A1109" s="1">
        <v>41788</v>
      </c>
      <c r="B1109">
        <v>558.54903760000002</v>
      </c>
      <c r="C1109" s="2">
        <f t="shared" si="77"/>
        <v>-2.8486375709741449E-3</v>
      </c>
      <c r="D1109">
        <v>-0.62243802185949038</v>
      </c>
      <c r="E1109" s="15">
        <v>0</v>
      </c>
      <c r="F1109">
        <f t="shared" si="80"/>
        <v>0.19702401173064923</v>
      </c>
      <c r="G1109">
        <f t="shared" si="78"/>
        <v>0</v>
      </c>
      <c r="H1109" t="e">
        <f t="shared" si="79"/>
        <v>#NUM!</v>
      </c>
    </row>
    <row r="1110" spans="1:8" x14ac:dyDescent="0.2">
      <c r="A1110" s="1">
        <v>41789</v>
      </c>
      <c r="B1110">
        <v>558.3595828</v>
      </c>
      <c r="C1110" s="2">
        <f t="shared" si="77"/>
        <v>-3.3919098816118229E-4</v>
      </c>
      <c r="D1110">
        <v>-0.88092869671546548</v>
      </c>
      <c r="E1110" s="15">
        <v>1</v>
      </c>
      <c r="F1110">
        <f t="shared" si="80"/>
        <v>1.984840104001822E-2</v>
      </c>
      <c r="G1110">
        <f t="shared" si="78"/>
        <v>50.381892122383377</v>
      </c>
      <c r="H1110">
        <f t="shared" si="79"/>
        <v>-3.4045491025235166</v>
      </c>
    </row>
    <row r="1111" spans="1:8" x14ac:dyDescent="0.2">
      <c r="A1111" s="1">
        <v>41792</v>
      </c>
      <c r="B1111">
        <v>552.41583030000004</v>
      </c>
      <c r="C1111" s="2">
        <f t="shared" si="77"/>
        <v>-1.0645026400718127E-2</v>
      </c>
      <c r="D1111">
        <v>30.38357672303384</v>
      </c>
      <c r="E1111" s="15">
        <v>1</v>
      </c>
      <c r="F1111">
        <f t="shared" si="80"/>
        <v>329.57444043213502</v>
      </c>
      <c r="G1111">
        <f t="shared" si="78"/>
        <v>3.0342158775686886E-3</v>
      </c>
      <c r="H1111">
        <f t="shared" si="79"/>
        <v>-11798154887.862022</v>
      </c>
    </row>
    <row r="1112" spans="1:8" x14ac:dyDescent="0.2">
      <c r="A1112" s="1">
        <v>41793</v>
      </c>
      <c r="B1112">
        <v>543.45039689999999</v>
      </c>
      <c r="C1112" s="2">
        <f t="shared" si="77"/>
        <v>-1.6229501234841879E-2</v>
      </c>
      <c r="D1112">
        <v>0.52460882894071692</v>
      </c>
      <c r="E1112" s="15">
        <v>0</v>
      </c>
      <c r="F1112">
        <f t="shared" si="80"/>
        <v>28.238384986019714</v>
      </c>
      <c r="G1112">
        <f t="shared" si="78"/>
        <v>0</v>
      </c>
      <c r="H1112" t="e">
        <f t="shared" si="79"/>
        <v>#NUM!</v>
      </c>
    </row>
    <row r="1113" spans="1:8" x14ac:dyDescent="0.2">
      <c r="A1113" s="1">
        <v>41794</v>
      </c>
      <c r="B1113">
        <v>543.17115960000001</v>
      </c>
      <c r="C1113" s="2">
        <f t="shared" si="77"/>
        <v>-5.1382297555182274E-4</v>
      </c>
      <c r="D1113">
        <v>-0.9683401869153726</v>
      </c>
      <c r="E1113" s="15">
        <v>0</v>
      </c>
      <c r="F1113">
        <f t="shared" si="80"/>
        <v>2.4222175301265034</v>
      </c>
      <c r="G1113">
        <f t="shared" si="78"/>
        <v>0</v>
      </c>
      <c r="H1113" t="e">
        <f t="shared" si="79"/>
        <v>#NUM!</v>
      </c>
    </row>
    <row r="1114" spans="1:8" x14ac:dyDescent="0.2">
      <c r="A1114" s="1">
        <v>41795</v>
      </c>
      <c r="B1114">
        <v>552.38592340000002</v>
      </c>
      <c r="C1114" s="2">
        <f t="shared" si="77"/>
        <v>1.6964751602028934E-2</v>
      </c>
      <c r="D1114">
        <v>-34.016724454194666</v>
      </c>
      <c r="E1114" s="15">
        <v>0</v>
      </c>
      <c r="F1114">
        <f t="shared" si="80"/>
        <v>0.21048594604858645</v>
      </c>
      <c r="G1114">
        <f t="shared" si="78"/>
        <v>0</v>
      </c>
      <c r="H1114" t="e">
        <f t="shared" si="79"/>
        <v>#NUM!</v>
      </c>
    </row>
    <row r="1115" spans="1:8" x14ac:dyDescent="0.2">
      <c r="A1115" s="1">
        <v>41796</v>
      </c>
      <c r="B1115">
        <v>554.80927410000004</v>
      </c>
      <c r="C1115" s="2">
        <f t="shared" si="77"/>
        <v>4.3870609248765919E-3</v>
      </c>
      <c r="D1115">
        <v>-0.74140140523178</v>
      </c>
      <c r="E1115" s="15">
        <v>1</v>
      </c>
      <c r="F1115">
        <f t="shared" si="80"/>
        <v>2.1001716510435475E-2</v>
      </c>
      <c r="G1115">
        <f t="shared" si="78"/>
        <v>47.615155623261231</v>
      </c>
      <c r="H1115">
        <f t="shared" si="79"/>
        <v>-3.3554906107391327</v>
      </c>
    </row>
    <row r="1116" spans="1:8" x14ac:dyDescent="0.2">
      <c r="A1116" s="1">
        <v>41799</v>
      </c>
      <c r="B1116">
        <v>560.5834701</v>
      </c>
      <c r="C1116" s="2">
        <f t="shared" si="77"/>
        <v>1.040753330839096E-2</v>
      </c>
      <c r="D1116">
        <v>1.37232477200752</v>
      </c>
      <c r="E1116" s="15">
        <v>0</v>
      </c>
      <c r="F1116">
        <f t="shared" si="80"/>
        <v>294.37157659682873</v>
      </c>
      <c r="G1116">
        <f t="shared" si="78"/>
        <v>0</v>
      </c>
      <c r="H1116" t="e">
        <f t="shared" si="79"/>
        <v>#NUM!</v>
      </c>
    </row>
    <row r="1117" spans="1:8" x14ac:dyDescent="0.2">
      <c r="A1117" s="1">
        <v>41800</v>
      </c>
      <c r="B1117">
        <v>559.01772779999999</v>
      </c>
      <c r="C1117" s="2">
        <f t="shared" si="77"/>
        <v>-2.7930582750160383E-3</v>
      </c>
      <c r="D1117">
        <v>-1.2683689008964463</v>
      </c>
      <c r="E1117" s="15">
        <v>1</v>
      </c>
      <c r="F1117">
        <f t="shared" si="80"/>
        <v>25.222471923530655</v>
      </c>
      <c r="G1117">
        <f t="shared" si="78"/>
        <v>3.9647184583326896E-2</v>
      </c>
      <c r="H1117">
        <f t="shared" si="79"/>
        <v>-404713.39677997807</v>
      </c>
    </row>
    <row r="1118" spans="1:8" x14ac:dyDescent="0.2">
      <c r="A1118" s="1">
        <v>41801</v>
      </c>
      <c r="B1118">
        <v>557.31239779999999</v>
      </c>
      <c r="C1118" s="2">
        <f t="shared" si="77"/>
        <v>-3.050583040919447E-3</v>
      </c>
      <c r="D1118">
        <v>9.2201716021098751E-2</v>
      </c>
      <c r="E1118" s="15">
        <v>1</v>
      </c>
      <c r="F1118">
        <f t="shared" si="80"/>
        <v>2.1640412788338641</v>
      </c>
      <c r="G1118">
        <f t="shared" si="78"/>
        <v>0.46209839423158766</v>
      </c>
      <c r="H1118">
        <f t="shared" si="79"/>
        <v>-21.260657157063804</v>
      </c>
    </row>
    <row r="1119" spans="1:8" x14ac:dyDescent="0.2">
      <c r="A1119" s="1">
        <v>41802</v>
      </c>
      <c r="B1119">
        <v>549.84288240000001</v>
      </c>
      <c r="C1119" s="2">
        <f t="shared" si="77"/>
        <v>-1.3402744007644572E-2</v>
      </c>
      <c r="D1119">
        <v>3.393502431458145</v>
      </c>
      <c r="E1119" s="15">
        <v>0</v>
      </c>
      <c r="F1119">
        <f t="shared" si="80"/>
        <v>0.21609211242750839</v>
      </c>
      <c r="G1119">
        <f t="shared" si="78"/>
        <v>0</v>
      </c>
      <c r="H1119" t="e">
        <f t="shared" si="79"/>
        <v>#NUM!</v>
      </c>
    </row>
    <row r="1120" spans="1:8" x14ac:dyDescent="0.2">
      <c r="A1120" s="1">
        <v>41803</v>
      </c>
      <c r="B1120">
        <v>550.25175879999995</v>
      </c>
      <c r="C1120" s="2">
        <f t="shared" si="77"/>
        <v>7.4362406623368902E-4</v>
      </c>
      <c r="D1120">
        <v>-1.0554829716817351</v>
      </c>
      <c r="E1120" s="15">
        <v>0</v>
      </c>
      <c r="F1120">
        <f t="shared" si="80"/>
        <v>2.1482009926065106E-2</v>
      </c>
      <c r="G1120">
        <f t="shared" si="78"/>
        <v>0</v>
      </c>
      <c r="H1120" t="e">
        <f t="shared" si="79"/>
        <v>#NUM!</v>
      </c>
    </row>
    <row r="1121" spans="1:8" x14ac:dyDescent="0.2">
      <c r="A1121" s="1">
        <v>41806</v>
      </c>
      <c r="B1121">
        <v>542.7922519</v>
      </c>
      <c r="C1121" s="2">
        <f t="shared" si="77"/>
        <v>-1.3556534405756E-2</v>
      </c>
      <c r="D1121">
        <v>-19.230359964568127</v>
      </c>
      <c r="E1121" s="15">
        <v>0</v>
      </c>
      <c r="F1121">
        <f t="shared" si="80"/>
        <v>4.8093062407306179E-3</v>
      </c>
      <c r="G1121">
        <f t="shared" si="78"/>
        <v>0</v>
      </c>
      <c r="H1121" t="e">
        <f t="shared" si="79"/>
        <v>#NUM!</v>
      </c>
    </row>
    <row r="1122" spans="1:8" x14ac:dyDescent="0.2">
      <c r="A1122" s="1">
        <v>41807</v>
      </c>
      <c r="B1122">
        <v>541.52570619999995</v>
      </c>
      <c r="C1122" s="2">
        <f t="shared" si="77"/>
        <v>-2.3333894239768744E-3</v>
      </c>
      <c r="D1122">
        <v>-0.82787714366098353</v>
      </c>
      <c r="E1122" s="15">
        <v>0</v>
      </c>
      <c r="F1122">
        <f t="shared" si="80"/>
        <v>3.3809166319388306E-3</v>
      </c>
      <c r="G1122">
        <f t="shared" si="78"/>
        <v>0</v>
      </c>
      <c r="H1122" t="e">
        <f t="shared" si="79"/>
        <v>#NUM!</v>
      </c>
    </row>
    <row r="1123" spans="1:8" x14ac:dyDescent="0.2">
      <c r="A1123" s="1">
        <v>41808</v>
      </c>
      <c r="B1123">
        <v>551.8573566</v>
      </c>
      <c r="C1123" s="2">
        <f t="shared" si="77"/>
        <v>1.9078781084095577E-2</v>
      </c>
      <c r="D1123">
        <v>-9.1764239128070475</v>
      </c>
      <c r="E1123" s="15">
        <v>0</v>
      </c>
      <c r="F1123">
        <f t="shared" si="80"/>
        <v>3.2585431457298106E-3</v>
      </c>
      <c r="G1123">
        <f t="shared" si="78"/>
        <v>0</v>
      </c>
      <c r="H1123" t="e">
        <f t="shared" si="79"/>
        <v>#NUM!</v>
      </c>
    </row>
    <row r="1124" spans="1:8" x14ac:dyDescent="0.2">
      <c r="A1124" s="1">
        <v>41809</v>
      </c>
      <c r="B1124">
        <v>553.38318149999998</v>
      </c>
      <c r="C1124" s="2">
        <f t="shared" si="77"/>
        <v>2.7648900241189155E-3</v>
      </c>
      <c r="D1124">
        <v>-0.85508036326158288</v>
      </c>
      <c r="E1124" s="15">
        <v>0</v>
      </c>
      <c r="F1124">
        <f t="shared" si="80"/>
        <v>3.2480591222989654E-3</v>
      </c>
      <c r="G1124">
        <f t="shared" si="78"/>
        <v>0</v>
      </c>
      <c r="H1124" t="e">
        <f t="shared" si="79"/>
        <v>#NUM!</v>
      </c>
    </row>
    <row r="1125" spans="1:8" x14ac:dyDescent="0.2">
      <c r="A1125" s="1">
        <v>41810</v>
      </c>
      <c r="B1125">
        <v>554.83918100000005</v>
      </c>
      <c r="C1125" s="2">
        <f t="shared" si="77"/>
        <v>2.6310873706957344E-3</v>
      </c>
      <c r="D1125">
        <v>-4.8393481207564447E-2</v>
      </c>
      <c r="E1125" s="15">
        <v>1</v>
      </c>
      <c r="F1125">
        <f t="shared" si="80"/>
        <v>3.2471609314350491E-3</v>
      </c>
      <c r="G1125">
        <f t="shared" si="78"/>
        <v>307.96133025598471</v>
      </c>
      <c r="H1125">
        <f t="shared" si="79"/>
        <v>-4.976992373951111</v>
      </c>
    </row>
    <row r="1126" spans="1:8" x14ac:dyDescent="0.2">
      <c r="A1126" s="1">
        <v>41813</v>
      </c>
      <c r="B1126">
        <v>563.40574849999996</v>
      </c>
      <c r="C1126" s="2">
        <f t="shared" si="77"/>
        <v>1.5439730634307718E-2</v>
      </c>
      <c r="D1126">
        <v>4.8681938145691506</v>
      </c>
      <c r="E1126" s="15">
        <v>0</v>
      </c>
      <c r="F1126">
        <f t="shared" si="80"/>
        <v>12313.766425117166</v>
      </c>
      <c r="G1126">
        <f t="shared" si="78"/>
        <v>0</v>
      </c>
      <c r="H1126" t="e">
        <f t="shared" si="79"/>
        <v>#NUM!</v>
      </c>
    </row>
    <row r="1127" spans="1:8" x14ac:dyDescent="0.2">
      <c r="A1127" s="1">
        <v>41814</v>
      </c>
      <c r="B1127">
        <v>563.07664509999995</v>
      </c>
      <c r="C1127" s="2">
        <f t="shared" si="77"/>
        <v>-5.8413213013215853E-4</v>
      </c>
      <c r="D1127">
        <v>-1.0378330518820187</v>
      </c>
      <c r="E1127" s="15">
        <v>0</v>
      </c>
      <c r="F1127">
        <f t="shared" si="80"/>
        <v>1054.952204401983</v>
      </c>
      <c r="G1127">
        <f t="shared" si="78"/>
        <v>0</v>
      </c>
      <c r="H1127" t="e">
        <f t="shared" si="79"/>
        <v>#NUM!</v>
      </c>
    </row>
    <row r="1128" spans="1:8" x14ac:dyDescent="0.2">
      <c r="A1128" s="1">
        <v>41815</v>
      </c>
      <c r="B1128">
        <v>577.06828599999994</v>
      </c>
      <c r="C1128" s="2">
        <f t="shared" si="77"/>
        <v>2.4848554849074122E-2</v>
      </c>
      <c r="D1128">
        <v>-43.539270769872211</v>
      </c>
      <c r="E1128" s="15">
        <v>0</v>
      </c>
      <c r="F1128">
        <f t="shared" si="80"/>
        <v>90.383197256928824</v>
      </c>
      <c r="G1128">
        <f t="shared" si="78"/>
        <v>0</v>
      </c>
      <c r="H1128" t="e">
        <f t="shared" si="79"/>
        <v>#NUM!</v>
      </c>
    </row>
    <row r="1129" spans="1:8" x14ac:dyDescent="0.2">
      <c r="A1129" s="1">
        <v>41816</v>
      </c>
      <c r="B1129">
        <v>574.42551279999998</v>
      </c>
      <c r="C1129" s="2">
        <f t="shared" si="77"/>
        <v>-4.5796542005775128E-3</v>
      </c>
      <c r="D1129">
        <v>-1.1843026376541232</v>
      </c>
      <c r="E1129" s="15">
        <v>0</v>
      </c>
      <c r="F1129">
        <f t="shared" si="80"/>
        <v>7.7463092769355972</v>
      </c>
      <c r="G1129">
        <f t="shared" si="78"/>
        <v>0</v>
      </c>
      <c r="H1129" t="e">
        <f t="shared" si="79"/>
        <v>#NUM!</v>
      </c>
    </row>
    <row r="1130" spans="1:8" x14ac:dyDescent="0.2">
      <c r="A1130" s="1">
        <v>41817</v>
      </c>
      <c r="B1130">
        <v>575.66215160000002</v>
      </c>
      <c r="C1130" s="2">
        <f t="shared" si="77"/>
        <v>2.1528270810468033E-3</v>
      </c>
      <c r="D1130">
        <v>-1.4700850734047395</v>
      </c>
      <c r="E1130" s="15">
        <v>0</v>
      </c>
      <c r="F1130">
        <f t="shared" si="80"/>
        <v>0.66661336670715465</v>
      </c>
      <c r="G1130">
        <f t="shared" si="78"/>
        <v>0</v>
      </c>
      <c r="H1130" t="e">
        <f t="shared" si="79"/>
        <v>#NUM!</v>
      </c>
    </row>
    <row r="1131" spans="1:8" x14ac:dyDescent="0.2">
      <c r="A1131" s="1">
        <v>41820</v>
      </c>
      <c r="B1131">
        <v>573.70749209999997</v>
      </c>
      <c r="C1131" s="2">
        <f t="shared" si="77"/>
        <v>-3.3954976796151206E-3</v>
      </c>
      <c r="D1131">
        <v>-2.5772273163546764</v>
      </c>
      <c r="E1131" s="15">
        <v>0</v>
      </c>
      <c r="F1131">
        <f t="shared" si="80"/>
        <v>6.0079221889889366E-2</v>
      </c>
      <c r="G1131">
        <f t="shared" si="78"/>
        <v>0</v>
      </c>
      <c r="H1131" t="e">
        <f t="shared" si="79"/>
        <v>#NUM!</v>
      </c>
    </row>
    <row r="1132" spans="1:8" x14ac:dyDescent="0.2">
      <c r="A1132" s="1">
        <v>41821</v>
      </c>
      <c r="B1132">
        <v>581.07727629999999</v>
      </c>
      <c r="C1132" s="2">
        <f t="shared" si="77"/>
        <v>1.2845891506530017E-2</v>
      </c>
      <c r="D1132">
        <v>-4.7832131600767571</v>
      </c>
      <c r="E1132" s="15">
        <v>0</v>
      </c>
      <c r="F1132">
        <f t="shared" si="80"/>
        <v>8.116019869064052E-3</v>
      </c>
      <c r="G1132">
        <f t="shared" si="78"/>
        <v>0</v>
      </c>
      <c r="H1132" t="e">
        <f t="shared" si="79"/>
        <v>#NUM!</v>
      </c>
    </row>
    <row r="1133" spans="1:8" x14ac:dyDescent="0.2">
      <c r="A1133" s="1">
        <v>41822</v>
      </c>
      <c r="B1133">
        <v>580.74322949999998</v>
      </c>
      <c r="C1133" s="2">
        <f t="shared" si="77"/>
        <v>-5.7487500135446285E-4</v>
      </c>
      <c r="D1133">
        <v>-1.044751662511102</v>
      </c>
      <c r="E1133" s="15">
        <v>0</v>
      </c>
      <c r="F1133">
        <f t="shared" si="80"/>
        <v>3.6642105400598217E-3</v>
      </c>
      <c r="G1133">
        <f t="shared" si="78"/>
        <v>0</v>
      </c>
      <c r="H1133" t="e">
        <f t="shared" si="79"/>
        <v>#NUM!</v>
      </c>
    </row>
    <row r="1134" spans="1:8" x14ac:dyDescent="0.2">
      <c r="A1134" s="1">
        <v>41823</v>
      </c>
      <c r="B1134">
        <v>583.13166799999999</v>
      </c>
      <c r="C1134" s="2">
        <f t="shared" si="77"/>
        <v>4.1127272410155695E-3</v>
      </c>
      <c r="D1134">
        <v>-8.1541243423797756</v>
      </c>
      <c r="E1134" s="15">
        <v>0</v>
      </c>
      <c r="F1134">
        <f t="shared" si="80"/>
        <v>3.2828135989347086E-3</v>
      </c>
      <c r="G1134">
        <f t="shared" si="78"/>
        <v>0</v>
      </c>
      <c r="H1134" t="e">
        <f t="shared" si="79"/>
        <v>#NUM!</v>
      </c>
    </row>
    <row r="1135" spans="1:8" x14ac:dyDescent="0.2">
      <c r="A1135" s="1">
        <v>41827</v>
      </c>
      <c r="B1135">
        <v>580.65845119999994</v>
      </c>
      <c r="C1135" s="2">
        <f t="shared" si="77"/>
        <v>-4.2412664852906692E-3</v>
      </c>
      <c r="D1135">
        <v>-2.0312540163114146</v>
      </c>
      <c r="E1135" s="15">
        <v>1</v>
      </c>
      <c r="F1135">
        <f t="shared" si="80"/>
        <v>3.2501384289197045E-3</v>
      </c>
      <c r="G1135">
        <f t="shared" si="78"/>
        <v>307.67920255396149</v>
      </c>
      <c r="H1135">
        <f t="shared" si="79"/>
        <v>-4.9761962826857369</v>
      </c>
    </row>
    <row r="1136" spans="1:8" x14ac:dyDescent="0.2">
      <c r="A1136" s="1">
        <v>41828</v>
      </c>
      <c r="B1136">
        <v>569.52894530000003</v>
      </c>
      <c r="C1136" s="2">
        <f t="shared" si="77"/>
        <v>-1.9167043684629858E-2</v>
      </c>
      <c r="D1136">
        <v>3.5191792949355953</v>
      </c>
      <c r="E1136" s="15">
        <v>0</v>
      </c>
      <c r="F1136">
        <f t="shared" si="80"/>
        <v>12291.21513692912</v>
      </c>
      <c r="G1136">
        <f t="shared" si="78"/>
        <v>0</v>
      </c>
      <c r="H1136" t="e">
        <f t="shared" si="79"/>
        <v>#NUM!</v>
      </c>
    </row>
    <row r="1137" spans="1:8" x14ac:dyDescent="0.2">
      <c r="A1137" s="1">
        <v>41829</v>
      </c>
      <c r="B1137">
        <v>574.50528569999994</v>
      </c>
      <c r="C1137" s="2">
        <f t="shared" si="77"/>
        <v>8.7376426449732418E-3</v>
      </c>
      <c r="D1137">
        <v>-1.4558680404104258</v>
      </c>
      <c r="E1137" s="15">
        <v>0</v>
      </c>
      <c r="F1137">
        <f t="shared" si="80"/>
        <v>1053.0201826782954</v>
      </c>
      <c r="G1137">
        <f t="shared" si="78"/>
        <v>0</v>
      </c>
      <c r="H1137" t="e">
        <f t="shared" si="79"/>
        <v>#NUM!</v>
      </c>
    </row>
    <row r="1138" spans="1:8" x14ac:dyDescent="0.2">
      <c r="A1138" s="1">
        <v>41830</v>
      </c>
      <c r="B1138">
        <v>569.53889400000003</v>
      </c>
      <c r="C1138" s="2">
        <f t="shared" si="77"/>
        <v>-8.6446405692310897E-3</v>
      </c>
      <c r="D1138">
        <v>-1.9893561593760467</v>
      </c>
      <c r="E1138" s="15">
        <v>0</v>
      </c>
      <c r="F1138">
        <f t="shared" si="80"/>
        <v>90.217676426824795</v>
      </c>
      <c r="G1138">
        <f t="shared" si="78"/>
        <v>0</v>
      </c>
      <c r="H1138" t="e">
        <f t="shared" si="79"/>
        <v>#NUM!</v>
      </c>
    </row>
    <row r="1139" spans="1:8" x14ac:dyDescent="0.2">
      <c r="A1139" s="1">
        <v>41831</v>
      </c>
      <c r="B1139">
        <v>577.59685279999997</v>
      </c>
      <c r="C1139" s="2">
        <f t="shared" si="77"/>
        <v>1.4148215134891099E-2</v>
      </c>
      <c r="D1139">
        <v>-2.6366458526047811</v>
      </c>
      <c r="E1139" s="15">
        <v>0</v>
      </c>
      <c r="F1139">
        <f t="shared" si="80"/>
        <v>7.732128719407477</v>
      </c>
      <c r="G1139">
        <f t="shared" si="78"/>
        <v>0</v>
      </c>
      <c r="H1139" t="e">
        <f t="shared" si="79"/>
        <v>#NUM!</v>
      </c>
    </row>
    <row r="1140" spans="1:8" x14ac:dyDescent="0.2">
      <c r="A1140" s="1">
        <v>41834</v>
      </c>
      <c r="B1140">
        <v>583.27125579999995</v>
      </c>
      <c r="C1140" s="2">
        <f t="shared" si="77"/>
        <v>9.8241584463148318E-3</v>
      </c>
      <c r="D1140">
        <v>-0.30562559639856296</v>
      </c>
      <c r="E1140" s="15">
        <v>0</v>
      </c>
      <c r="F1140">
        <f t="shared" si="80"/>
        <v>0.66539848510172805</v>
      </c>
      <c r="G1140">
        <f t="shared" si="78"/>
        <v>0</v>
      </c>
      <c r="H1140" t="e">
        <f t="shared" si="79"/>
        <v>#NUM!</v>
      </c>
    </row>
    <row r="1141" spans="1:8" x14ac:dyDescent="0.2">
      <c r="A1141" s="1">
        <v>41835</v>
      </c>
      <c r="B1141">
        <v>583.18153410000002</v>
      </c>
      <c r="C1141" s="2">
        <f t="shared" si="77"/>
        <v>-1.5382499841667545E-4</v>
      </c>
      <c r="D1141">
        <v>-1.0156578295491943</v>
      </c>
      <c r="E1141" s="15">
        <v>1</v>
      </c>
      <c r="F1141">
        <f t="shared" si="80"/>
        <v>5.9975140134833044E-2</v>
      </c>
      <c r="G1141">
        <f t="shared" si="78"/>
        <v>16.673575047125379</v>
      </c>
      <c r="H1141">
        <f t="shared" si="79"/>
        <v>-2.4440703957519392</v>
      </c>
    </row>
    <row r="1142" spans="1:8" x14ac:dyDescent="0.2">
      <c r="A1142" s="1">
        <v>41836</v>
      </c>
      <c r="B1142">
        <v>581.06732769999996</v>
      </c>
      <c r="C1142" s="2">
        <f t="shared" si="77"/>
        <v>-3.6252972297259457E-3</v>
      </c>
      <c r="D1142">
        <v>22.567672790776665</v>
      </c>
      <c r="E1142" s="15">
        <v>1</v>
      </c>
      <c r="F1142">
        <f t="shared" si="80"/>
        <v>36.103841327024639</v>
      </c>
      <c r="G1142">
        <f t="shared" si="78"/>
        <v>2.7697883749878843E-2</v>
      </c>
      <c r="H1142">
        <f t="shared" si="79"/>
        <v>-1699076.1788370791</v>
      </c>
    </row>
    <row r="1143" spans="1:8" x14ac:dyDescent="0.2">
      <c r="A1143" s="1">
        <v>41837</v>
      </c>
      <c r="B1143">
        <v>572.16170899999997</v>
      </c>
      <c r="C1143" s="2">
        <f t="shared" si="77"/>
        <v>-1.5326311212937246E-2</v>
      </c>
      <c r="D1143">
        <v>3.2276012811495289</v>
      </c>
      <c r="E1143" s="15">
        <v>0</v>
      </c>
      <c r="F1143">
        <f t="shared" si="80"/>
        <v>3.0961692204230036</v>
      </c>
      <c r="G1143">
        <f t="shared" si="78"/>
        <v>0</v>
      </c>
      <c r="H1143" t="e">
        <f t="shared" si="79"/>
        <v>#NUM!</v>
      </c>
    </row>
    <row r="1144" spans="1:8" x14ac:dyDescent="0.2">
      <c r="A1144" s="1">
        <v>41838</v>
      </c>
      <c r="B1144">
        <v>593.45336980000002</v>
      </c>
      <c r="C1144" s="2">
        <f t="shared" si="77"/>
        <v>3.7212662897719441E-2</v>
      </c>
      <c r="D1144">
        <v>-3.4280247465096161</v>
      </c>
      <c r="E1144" s="15">
        <v>0</v>
      </c>
      <c r="F1144">
        <f t="shared" si="80"/>
        <v>0.26822496723049311</v>
      </c>
      <c r="G1144">
        <f t="shared" si="78"/>
        <v>0</v>
      </c>
      <c r="H1144" t="e">
        <f t="shared" si="79"/>
        <v>#NUM!</v>
      </c>
    </row>
    <row r="1145" spans="1:8" x14ac:dyDescent="0.2">
      <c r="A1145" s="1">
        <v>41841</v>
      </c>
      <c r="B1145">
        <v>587.85867900000005</v>
      </c>
      <c r="C1145" s="2">
        <f t="shared" si="77"/>
        <v>-9.4273469234582592E-3</v>
      </c>
      <c r="D1145">
        <v>-1.253337068335306</v>
      </c>
      <c r="E1145" s="15">
        <v>0</v>
      </c>
      <c r="F1145">
        <f t="shared" si="80"/>
        <v>2.5948353806616139E-2</v>
      </c>
      <c r="G1145">
        <f t="shared" si="78"/>
        <v>0</v>
      </c>
      <c r="H1145" t="e">
        <f t="shared" si="79"/>
        <v>#NUM!</v>
      </c>
    </row>
    <row r="1146" spans="1:8" x14ac:dyDescent="0.2">
      <c r="A1146" s="1">
        <v>41842</v>
      </c>
      <c r="B1146">
        <v>593.11431760000005</v>
      </c>
      <c r="C1146" s="2">
        <f t="shared" si="77"/>
        <v>8.9403096147875321E-3</v>
      </c>
      <c r="D1146">
        <v>-1.9483378184100957</v>
      </c>
      <c r="E1146" s="15">
        <v>0</v>
      </c>
      <c r="F1146">
        <f t="shared" si="80"/>
        <v>5.1919483909585694E-3</v>
      </c>
      <c r="G1146">
        <f t="shared" si="78"/>
        <v>0</v>
      </c>
      <c r="H1146" t="e">
        <f t="shared" si="79"/>
        <v>#NUM!</v>
      </c>
    </row>
    <row r="1147" spans="1:8" x14ac:dyDescent="0.2">
      <c r="A1147" s="1">
        <v>41843</v>
      </c>
      <c r="B1147">
        <v>594.35089559999994</v>
      </c>
      <c r="C1147" s="2">
        <f t="shared" si="77"/>
        <v>2.084889815176997E-3</v>
      </c>
      <c r="D1147">
        <v>-0.76679892475664058</v>
      </c>
      <c r="E1147" s="15">
        <v>0</v>
      </c>
      <c r="F1147">
        <f t="shared" si="80"/>
        <v>3.4136984819366873E-3</v>
      </c>
      <c r="G1147">
        <f t="shared" si="78"/>
        <v>0</v>
      </c>
      <c r="H1147" t="e">
        <f t="shared" si="79"/>
        <v>#NUM!</v>
      </c>
    </row>
    <row r="1148" spans="1:8" x14ac:dyDescent="0.2">
      <c r="A1148" s="1">
        <v>41844</v>
      </c>
      <c r="B1148">
        <v>591.7280816</v>
      </c>
      <c r="C1148" s="2">
        <f t="shared" si="77"/>
        <v>-4.4129049344700756E-3</v>
      </c>
      <c r="D1148">
        <v>-3.1166130230702103</v>
      </c>
      <c r="E1148" s="15">
        <v>1</v>
      </c>
      <c r="F1148">
        <f t="shared" si="80"/>
        <v>3.2613516436661768E-3</v>
      </c>
      <c r="G1148">
        <f t="shared" si="78"/>
        <v>306.62133656825546</v>
      </c>
      <c r="H1148">
        <f t="shared" si="79"/>
        <v>-4.9732047449296513</v>
      </c>
    </row>
    <row r="1149" spans="1:8" x14ac:dyDescent="0.2">
      <c r="A1149" s="1">
        <v>41845</v>
      </c>
      <c r="B1149">
        <v>587.40994699999999</v>
      </c>
      <c r="C1149" s="2">
        <f t="shared" si="77"/>
        <v>-7.2974981824827558E-3</v>
      </c>
      <c r="D1149">
        <v>0.65367219345256011</v>
      </c>
      <c r="E1149" s="15">
        <v>0</v>
      </c>
      <c r="F1149">
        <f t="shared" si="80"/>
        <v>12206.840878712146</v>
      </c>
      <c r="G1149">
        <f t="shared" si="78"/>
        <v>0</v>
      </c>
      <c r="H1149" t="e">
        <f t="shared" si="79"/>
        <v>#NUM!</v>
      </c>
    </row>
    <row r="1150" spans="1:8" x14ac:dyDescent="0.2">
      <c r="A1150" s="1">
        <v>41848</v>
      </c>
      <c r="B1150">
        <v>588.98563690000003</v>
      </c>
      <c r="C1150" s="2">
        <f t="shared" si="77"/>
        <v>2.6824365301393901E-3</v>
      </c>
      <c r="D1150">
        <v>-1.3675830350432197</v>
      </c>
      <c r="E1150" s="15">
        <v>0</v>
      </c>
      <c r="F1150">
        <f t="shared" si="80"/>
        <v>1045.79164218713</v>
      </c>
      <c r="G1150">
        <f t="shared" si="78"/>
        <v>0</v>
      </c>
      <c r="H1150" t="e">
        <f t="shared" si="79"/>
        <v>#NUM!</v>
      </c>
    </row>
    <row r="1151" spans="1:8" x14ac:dyDescent="0.2">
      <c r="A1151" s="1">
        <v>41849</v>
      </c>
      <c r="B1151">
        <v>584.00923560000001</v>
      </c>
      <c r="C1151" s="2">
        <f t="shared" si="77"/>
        <v>-8.449104677988829E-3</v>
      </c>
      <c r="D1151">
        <v>-4.1497873605045852</v>
      </c>
      <c r="E1151" s="15">
        <v>0</v>
      </c>
      <c r="F1151">
        <f t="shared" si="80"/>
        <v>89.598390417837933</v>
      </c>
      <c r="G1151">
        <f t="shared" si="78"/>
        <v>0</v>
      </c>
      <c r="H1151" t="e">
        <f t="shared" si="79"/>
        <v>#NUM!</v>
      </c>
    </row>
    <row r="1152" spans="1:8" x14ac:dyDescent="0.2">
      <c r="A1152" s="1">
        <v>41850</v>
      </c>
      <c r="B1152">
        <v>585.81429679999997</v>
      </c>
      <c r="C1152" s="2">
        <f t="shared" si="77"/>
        <v>3.0908093399335868E-3</v>
      </c>
      <c r="D1152">
        <v>-1.3658150132741997</v>
      </c>
      <c r="E1152" s="15">
        <v>0</v>
      </c>
      <c r="F1152">
        <f t="shared" si="80"/>
        <v>7.6790730352903855</v>
      </c>
      <c r="G1152">
        <f t="shared" si="78"/>
        <v>0</v>
      </c>
      <c r="H1152" t="e">
        <f t="shared" si="79"/>
        <v>#NUM!</v>
      </c>
    </row>
    <row r="1153" spans="1:8" x14ac:dyDescent="0.2">
      <c r="A1153" s="1">
        <v>41851</v>
      </c>
      <c r="B1153">
        <v>570.03755390000003</v>
      </c>
      <c r="C1153" s="2">
        <f t="shared" si="77"/>
        <v>-2.6931303974962892E-2</v>
      </c>
      <c r="D1153">
        <v>-9.7133501335742611</v>
      </c>
      <c r="E1153" s="15">
        <v>0</v>
      </c>
      <c r="F1153">
        <f t="shared" si="80"/>
        <v>0.66085308027054557</v>
      </c>
      <c r="G1153">
        <f t="shared" si="78"/>
        <v>0</v>
      </c>
      <c r="H1153" t="e">
        <f t="shared" si="79"/>
        <v>#NUM!</v>
      </c>
    </row>
    <row r="1154" spans="1:8" x14ac:dyDescent="0.2">
      <c r="A1154" s="1">
        <v>41852</v>
      </c>
      <c r="B1154">
        <v>564.5226361</v>
      </c>
      <c r="C1154" s="2">
        <f t="shared" si="77"/>
        <v>-9.6746569805250069E-3</v>
      </c>
      <c r="D1154">
        <v>-0.6407653714235596</v>
      </c>
      <c r="E1154" s="15">
        <v>0</v>
      </c>
      <c r="F1154">
        <f t="shared" si="80"/>
        <v>5.9585724647630213E-2</v>
      </c>
      <c r="G1154">
        <f t="shared" si="78"/>
        <v>0</v>
      </c>
      <c r="H1154" t="e">
        <f t="shared" si="79"/>
        <v>#NUM!</v>
      </c>
    </row>
    <row r="1155" spans="1:8" x14ac:dyDescent="0.2">
      <c r="A1155" s="1">
        <v>41855</v>
      </c>
      <c r="B1155">
        <v>571.58333689999995</v>
      </c>
      <c r="C1155" s="2">
        <f t="shared" si="77"/>
        <v>1.2507382961255094E-2</v>
      </c>
      <c r="D1155">
        <v>-2.2927985960052473</v>
      </c>
      <c r="E1155" s="15">
        <v>0</v>
      </c>
      <c r="F1155">
        <f t="shared" si="80"/>
        <v>8.0737408034659251E-3</v>
      </c>
      <c r="G1155">
        <f t="shared" si="78"/>
        <v>0</v>
      </c>
      <c r="H1155" t="e">
        <f t="shared" si="79"/>
        <v>#NUM!</v>
      </c>
    </row>
    <row r="1156" spans="1:8" x14ac:dyDescent="0.2">
      <c r="A1156" s="1">
        <v>41856</v>
      </c>
      <c r="B1156">
        <v>563.52537810000001</v>
      </c>
      <c r="C1156" s="2">
        <f t="shared" ref="C1156:C1219" si="81">(B1156-B1155)/B1155</f>
        <v>-1.4097609709377689E-2</v>
      </c>
      <c r="D1156">
        <v>-2.1271430444761097</v>
      </c>
      <c r="E1156" s="15">
        <v>0</v>
      </c>
      <c r="F1156">
        <f t="shared" si="80"/>
        <v>3.6605883933996551E-3</v>
      </c>
      <c r="G1156">
        <f t="shared" si="78"/>
        <v>0</v>
      </c>
      <c r="H1156" t="e">
        <f t="shared" si="79"/>
        <v>#NUM!</v>
      </c>
    </row>
    <row r="1157" spans="1:8" x14ac:dyDescent="0.2">
      <c r="A1157" s="1">
        <v>41857</v>
      </c>
      <c r="B1157">
        <v>564.82585959999994</v>
      </c>
      <c r="C1157" s="2">
        <f t="shared" si="81"/>
        <v>2.3077603077694161E-3</v>
      </c>
      <c r="D1157">
        <v>-1.1636986946967542</v>
      </c>
      <c r="E1157" s="15">
        <v>0</v>
      </c>
      <c r="F1157">
        <f t="shared" si="80"/>
        <v>3.2825032811393136E-3</v>
      </c>
      <c r="G1157">
        <f t="shared" si="78"/>
        <v>0</v>
      </c>
      <c r="H1157" t="e">
        <f t="shared" si="79"/>
        <v>#NUM!</v>
      </c>
    </row>
    <row r="1158" spans="1:8" x14ac:dyDescent="0.2">
      <c r="A1158" s="1">
        <v>41858</v>
      </c>
      <c r="B1158">
        <v>561.82004810000001</v>
      </c>
      <c r="C1158" s="2">
        <f t="shared" si="81"/>
        <v>-5.3216605594662413E-3</v>
      </c>
      <c r="D1158">
        <v>-3.3059849593348516</v>
      </c>
      <c r="E1158" s="15">
        <v>0</v>
      </c>
      <c r="F1158">
        <f t="shared" si="80"/>
        <v>3.2501118432667277E-3</v>
      </c>
      <c r="G1158">
        <f t="shared" si="78"/>
        <v>0</v>
      </c>
      <c r="H1158" t="e">
        <f t="shared" si="79"/>
        <v>#NUM!</v>
      </c>
    </row>
    <row r="1159" spans="1:8" x14ac:dyDescent="0.2">
      <c r="A1159" s="1">
        <v>41859</v>
      </c>
      <c r="B1159">
        <v>567.21527549999996</v>
      </c>
      <c r="C1159" s="2">
        <f t="shared" si="81"/>
        <v>9.6031236661024977E-3</v>
      </c>
      <c r="D1159">
        <v>-2.8045351744617255</v>
      </c>
      <c r="E1159" s="15">
        <v>0</v>
      </c>
      <c r="F1159">
        <f t="shared" si="80"/>
        <v>3.2473367928523354E-3</v>
      </c>
      <c r="G1159">
        <f t="shared" si="78"/>
        <v>0</v>
      </c>
      <c r="H1159" t="e">
        <f t="shared" si="79"/>
        <v>#NUM!</v>
      </c>
    </row>
    <row r="1160" spans="1:8" x14ac:dyDescent="0.2">
      <c r="A1160" s="1">
        <v>41862</v>
      </c>
      <c r="B1160">
        <v>566.32769829999995</v>
      </c>
      <c r="C1160" s="2">
        <f t="shared" si="81"/>
        <v>-1.5647977731516678E-3</v>
      </c>
      <c r="D1160">
        <v>-1.162946748116465</v>
      </c>
      <c r="E1160" s="15">
        <v>1</v>
      </c>
      <c r="F1160">
        <f t="shared" si="80"/>
        <v>3.2470990477780752E-3</v>
      </c>
      <c r="G1160">
        <f t="shared" ref="G1160:G1223" si="82">E1160/F1160</f>
        <v>307.96719942506218</v>
      </c>
      <c r="H1160">
        <f t="shared" ref="H1160:H1223" si="83">-LOG(G1160^2)-(F1160^2)/(G1160^2)</f>
        <v>-4.9770089274804228</v>
      </c>
    </row>
    <row r="1161" spans="1:8" x14ac:dyDescent="0.2">
      <c r="A1161" s="1">
        <v>41863</v>
      </c>
      <c r="B1161">
        <v>561.19180989999995</v>
      </c>
      <c r="C1161" s="2">
        <f t="shared" si="81"/>
        <v>-9.0687572149779835E-3</v>
      </c>
      <c r="D1161">
        <v>4.7954819278101022</v>
      </c>
      <c r="E1161" s="15">
        <v>0</v>
      </c>
      <c r="F1161">
        <f t="shared" ref="F1161:F1224" si="84" xml:space="preserve"> $K$5 + $K$6 * G1160 ^ 2 + $K$7 * F1160</f>
        <v>12314.23578434403</v>
      </c>
      <c r="G1161">
        <f t="shared" si="82"/>
        <v>0</v>
      </c>
      <c r="H1161" t="e">
        <f t="shared" si="83"/>
        <v>#NUM!</v>
      </c>
    </row>
    <row r="1162" spans="1:8" x14ac:dyDescent="0.2">
      <c r="A1162" s="1">
        <v>41864</v>
      </c>
      <c r="B1162">
        <v>573.20883219999996</v>
      </c>
      <c r="C1162" s="2">
        <f t="shared" si="81"/>
        <v>2.1413395719622759E-2</v>
      </c>
      <c r="D1162">
        <v>-3.3612271463455143</v>
      </c>
      <c r="E1162" s="15">
        <v>0</v>
      </c>
      <c r="F1162">
        <f t="shared" si="84"/>
        <v>1054.9924155072179</v>
      </c>
      <c r="G1162">
        <f t="shared" si="82"/>
        <v>0</v>
      </c>
      <c r="H1162" t="e">
        <f t="shared" si="83"/>
        <v>#NUM!</v>
      </c>
    </row>
    <row r="1163" spans="1:8" x14ac:dyDescent="0.2">
      <c r="A1163" s="1">
        <v>41865</v>
      </c>
      <c r="B1163">
        <v>573.0791931</v>
      </c>
      <c r="C1163" s="2">
        <f t="shared" si="81"/>
        <v>-2.2616382148614604E-4</v>
      </c>
      <c r="D1163">
        <v>-1.0105617915274827</v>
      </c>
      <c r="E1163" s="15">
        <v>1</v>
      </c>
      <c r="F1163">
        <f t="shared" si="84"/>
        <v>90.386642236576975</v>
      </c>
      <c r="G1163">
        <f t="shared" si="82"/>
        <v>1.1063581689234691E-2</v>
      </c>
      <c r="H1163">
        <f t="shared" si="83"/>
        <v>-66744731.001848541</v>
      </c>
    </row>
    <row r="1164" spans="1:8" x14ac:dyDescent="0.2">
      <c r="A1164" s="1">
        <v>41866</v>
      </c>
      <c r="B1164">
        <v>571.91244040000004</v>
      </c>
      <c r="C1164" s="2">
        <f t="shared" si="81"/>
        <v>-2.035936244149013E-3</v>
      </c>
      <c r="D1164">
        <v>8.0020421072241508</v>
      </c>
      <c r="E1164" s="15">
        <v>0</v>
      </c>
      <c r="F1164">
        <f t="shared" si="84"/>
        <v>7.7466203088334709</v>
      </c>
      <c r="G1164">
        <f t="shared" si="82"/>
        <v>0</v>
      </c>
      <c r="H1164" t="e">
        <f t="shared" si="83"/>
        <v>#NUM!</v>
      </c>
    </row>
    <row r="1165" spans="1:8" x14ac:dyDescent="0.2">
      <c r="A1165" s="1">
        <v>41869</v>
      </c>
      <c r="B1165">
        <v>580.56866769999999</v>
      </c>
      <c r="C1165" s="2">
        <f t="shared" si="81"/>
        <v>1.5135581408136046E-2</v>
      </c>
      <c r="D1165">
        <v>-8.4342118775249091</v>
      </c>
      <c r="E1165" s="15">
        <v>0</v>
      </c>
      <c r="F1165">
        <f t="shared" si="84"/>
        <v>0.66664001353896496</v>
      </c>
      <c r="G1165">
        <f t="shared" si="82"/>
        <v>0</v>
      </c>
      <c r="H1165" t="e">
        <f t="shared" si="83"/>
        <v>#NUM!</v>
      </c>
    </row>
    <row r="1166" spans="1:8" x14ac:dyDescent="0.2">
      <c r="A1166" s="1">
        <v>41870</v>
      </c>
      <c r="B1166">
        <v>585.25582310000004</v>
      </c>
      <c r="C1166" s="2">
        <f t="shared" si="81"/>
        <v>8.0733867684745046E-3</v>
      </c>
      <c r="D1166">
        <v>-0.46659553070523602</v>
      </c>
      <c r="E1166" s="15">
        <v>0</v>
      </c>
      <c r="F1166">
        <f t="shared" si="84"/>
        <v>6.0081504786435931E-2</v>
      </c>
      <c r="G1166">
        <f t="shared" si="82"/>
        <v>0</v>
      </c>
      <c r="H1166" t="e">
        <f t="shared" si="83"/>
        <v>#NUM!</v>
      </c>
    </row>
    <row r="1167" spans="1:8" x14ac:dyDescent="0.2">
      <c r="A1167" s="1">
        <v>41871</v>
      </c>
      <c r="B1167">
        <v>582.89228720000006</v>
      </c>
      <c r="C1167" s="2">
        <f t="shared" si="81"/>
        <v>-4.0384662684443571E-3</v>
      </c>
      <c r="D1167">
        <v>-1.5002195960949161</v>
      </c>
      <c r="E1167" s="15">
        <v>0</v>
      </c>
      <c r="F1167">
        <f t="shared" si="84"/>
        <v>8.1162154501627504E-3</v>
      </c>
      <c r="G1167">
        <f t="shared" si="82"/>
        <v>0</v>
      </c>
      <c r="H1167" t="e">
        <f t="shared" si="83"/>
        <v>#NUM!</v>
      </c>
    </row>
    <row r="1168" spans="1:8" x14ac:dyDescent="0.2">
      <c r="A1168" s="1">
        <v>41872</v>
      </c>
      <c r="B1168">
        <v>581.77539960000001</v>
      </c>
      <c r="C1168" s="2">
        <f t="shared" si="81"/>
        <v>-1.916113190251938E-3</v>
      </c>
      <c r="D1168">
        <v>-0.52553443240964914</v>
      </c>
      <c r="E1168" s="15">
        <v>0</v>
      </c>
      <c r="F1168">
        <f t="shared" si="84"/>
        <v>3.6642272959510275E-3</v>
      </c>
      <c r="G1168">
        <f t="shared" si="82"/>
        <v>0</v>
      </c>
      <c r="H1168" t="e">
        <f t="shared" si="83"/>
        <v>#NUM!</v>
      </c>
    </row>
    <row r="1169" spans="1:8" x14ac:dyDescent="0.2">
      <c r="A1169" s="1">
        <v>41873</v>
      </c>
      <c r="B1169">
        <v>580.96759550000002</v>
      </c>
      <c r="C1169" s="2">
        <f t="shared" si="81"/>
        <v>-1.3885153971023949E-3</v>
      </c>
      <c r="D1169">
        <v>-0.2753479261213021</v>
      </c>
      <c r="E1169" s="15">
        <v>1</v>
      </c>
      <c r="F1169">
        <f t="shared" si="84"/>
        <v>3.2828150344511873E-3</v>
      </c>
      <c r="G1169">
        <f t="shared" si="82"/>
        <v>304.61661394431184</v>
      </c>
      <c r="H1169">
        <f t="shared" si="83"/>
        <v>-4.9675071726898548</v>
      </c>
    </row>
    <row r="1170" spans="1:8" x14ac:dyDescent="0.2">
      <c r="A1170" s="1">
        <v>41876</v>
      </c>
      <c r="B1170">
        <v>578.61406910000005</v>
      </c>
      <c r="C1170" s="2">
        <f t="shared" si="81"/>
        <v>-4.051045907258289E-3</v>
      </c>
      <c r="D1170">
        <v>1.9175376201892762</v>
      </c>
      <c r="E1170" s="15">
        <v>0</v>
      </c>
      <c r="F1170">
        <f t="shared" si="84"/>
        <v>12047.743501413481</v>
      </c>
      <c r="G1170">
        <f t="shared" si="82"/>
        <v>0</v>
      </c>
      <c r="H1170" t="e">
        <f t="shared" si="83"/>
        <v>#NUM!</v>
      </c>
    </row>
    <row r="1171" spans="1:8" x14ac:dyDescent="0.2">
      <c r="A1171" s="1">
        <v>41877</v>
      </c>
      <c r="B1171">
        <v>576.280441</v>
      </c>
      <c r="C1171" s="2">
        <f t="shared" si="81"/>
        <v>-4.0331340432663105E-3</v>
      </c>
      <c r="D1171">
        <v>-4.4215406100152135E-3</v>
      </c>
      <c r="E1171" s="15">
        <v>1</v>
      </c>
      <c r="F1171">
        <f t="shared" si="84"/>
        <v>1032.1613969186717</v>
      </c>
      <c r="G1171">
        <f t="shared" si="82"/>
        <v>9.6884072877102009E-4</v>
      </c>
      <c r="H1171">
        <f t="shared" si="83"/>
        <v>-1134985855535.3779</v>
      </c>
    </row>
    <row r="1172" spans="1:8" x14ac:dyDescent="0.2">
      <c r="A1172" s="1">
        <v>41878</v>
      </c>
      <c r="B1172">
        <v>569.43916179999997</v>
      </c>
      <c r="C1172" s="2">
        <f t="shared" si="81"/>
        <v>-1.1871440904932657E-2</v>
      </c>
      <c r="D1172">
        <v>1.9434778952495078</v>
      </c>
      <c r="E1172" s="15">
        <v>0</v>
      </c>
      <c r="F1172">
        <f t="shared" si="84"/>
        <v>88.430655475607622</v>
      </c>
      <c r="G1172">
        <f t="shared" si="82"/>
        <v>0</v>
      </c>
      <c r="H1172" t="e">
        <f t="shared" si="83"/>
        <v>#NUM!</v>
      </c>
    </row>
    <row r="1173" spans="1:8" x14ac:dyDescent="0.2">
      <c r="A1173" s="1">
        <v>41879</v>
      </c>
      <c r="B1173">
        <v>567.64411010000003</v>
      </c>
      <c r="C1173" s="2">
        <f t="shared" si="81"/>
        <v>-3.1523151557152546E-3</v>
      </c>
      <c r="D1173">
        <v>-0.73446229645085048</v>
      </c>
      <c r="E1173" s="15">
        <v>0</v>
      </c>
      <c r="F1173">
        <f t="shared" si="84"/>
        <v>7.5790304453910622</v>
      </c>
      <c r="G1173">
        <f t="shared" si="82"/>
        <v>0</v>
      </c>
      <c r="H1173" t="e">
        <f t="shared" si="83"/>
        <v>#NUM!</v>
      </c>
    </row>
    <row r="1174" spans="1:8" x14ac:dyDescent="0.2">
      <c r="A1174" s="1">
        <v>41880</v>
      </c>
      <c r="B1174">
        <v>570.03755390000003</v>
      </c>
      <c r="C1174" s="2">
        <f t="shared" si="81"/>
        <v>4.2164513951855409E-3</v>
      </c>
      <c r="D1174">
        <v>-2.3375729224094144</v>
      </c>
      <c r="E1174" s="15">
        <v>1</v>
      </c>
      <c r="F1174">
        <f t="shared" si="84"/>
        <v>0.65228219707452817</v>
      </c>
      <c r="G1174">
        <f t="shared" si="82"/>
        <v>1.5330787878083731</v>
      </c>
      <c r="H1174">
        <f t="shared" si="83"/>
        <v>-0.552155427052061</v>
      </c>
    </row>
    <row r="1175" spans="1:8" x14ac:dyDescent="0.2">
      <c r="A1175" s="1">
        <v>41884</v>
      </c>
      <c r="B1175">
        <v>575.75187419999997</v>
      </c>
      <c r="C1175" s="2">
        <f t="shared" si="81"/>
        <v>1.0024462881269023E-2</v>
      </c>
      <c r="D1175">
        <v>1.3774643513536591</v>
      </c>
      <c r="E1175" s="15">
        <v>0</v>
      </c>
      <c r="F1175">
        <f t="shared" si="84"/>
        <v>0.36401127262078481</v>
      </c>
      <c r="G1175">
        <f t="shared" si="82"/>
        <v>0</v>
      </c>
      <c r="H1175" t="e">
        <f t="shared" si="83"/>
        <v>#NUM!</v>
      </c>
    </row>
    <row r="1176" spans="1:8" x14ac:dyDescent="0.2">
      <c r="A1176" s="1">
        <v>41885</v>
      </c>
      <c r="B1176">
        <v>576.36021400000004</v>
      </c>
      <c r="C1176" s="2">
        <f t="shared" si="81"/>
        <v>1.056600642152225E-3</v>
      </c>
      <c r="D1176">
        <v>-0.89459777998415135</v>
      </c>
      <c r="E1176" s="15">
        <v>1</v>
      </c>
      <c r="F1176">
        <f t="shared" si="84"/>
        <v>3.4154591131183847E-2</v>
      </c>
      <c r="G1176">
        <f t="shared" si="82"/>
        <v>29.278640641871991</v>
      </c>
      <c r="H1176">
        <f t="shared" si="83"/>
        <v>-2.9331031793880182</v>
      </c>
    </row>
    <row r="1177" spans="1:8" x14ac:dyDescent="0.2">
      <c r="A1177" s="1">
        <v>41886</v>
      </c>
      <c r="B1177">
        <v>580.38916259999996</v>
      </c>
      <c r="C1177" s="2">
        <f t="shared" si="81"/>
        <v>6.9903308766554127E-3</v>
      </c>
      <c r="D1177">
        <v>5.615868472705615</v>
      </c>
      <c r="E1177" s="15">
        <v>1</v>
      </c>
      <c r="F1177">
        <f t="shared" si="84"/>
        <v>111.30719619263259</v>
      </c>
      <c r="G1177">
        <f t="shared" si="82"/>
        <v>8.984145088601108E-3</v>
      </c>
      <c r="H1177">
        <f t="shared" si="83"/>
        <v>-153494550.29161647</v>
      </c>
    </row>
    <row r="1178" spans="1:8" x14ac:dyDescent="0.2">
      <c r="A1178" s="1">
        <v>41887</v>
      </c>
      <c r="B1178">
        <v>584.47798769999997</v>
      </c>
      <c r="C1178" s="2">
        <f t="shared" si="81"/>
        <v>7.0449714837594185E-3</v>
      </c>
      <c r="D1178">
        <v>7.8165981078923037E-3</v>
      </c>
      <c r="E1178" s="15">
        <v>0</v>
      </c>
      <c r="F1178">
        <f t="shared" si="84"/>
        <v>9.5389277954662131</v>
      </c>
      <c r="G1178">
        <f t="shared" si="82"/>
        <v>0</v>
      </c>
      <c r="H1178" t="e">
        <f t="shared" si="83"/>
        <v>#NUM!</v>
      </c>
    </row>
    <row r="1179" spans="1:8" x14ac:dyDescent="0.2">
      <c r="A1179" s="1">
        <v>41890</v>
      </c>
      <c r="B1179">
        <v>588.10800849999998</v>
      </c>
      <c r="C1179" s="2">
        <f t="shared" si="81"/>
        <v>6.2107057517848266E-3</v>
      </c>
      <c r="D1179">
        <v>-0.11842002964778524</v>
      </c>
      <c r="E1179" s="15">
        <v>0</v>
      </c>
      <c r="F1179">
        <f t="shared" si="84"/>
        <v>0.82019119743710145</v>
      </c>
      <c r="G1179">
        <f t="shared" si="82"/>
        <v>0</v>
      </c>
      <c r="H1179" t="e">
        <f t="shared" si="83"/>
        <v>#NUM!</v>
      </c>
    </row>
    <row r="1180" spans="1:8" x14ac:dyDescent="0.2">
      <c r="A1180" s="1">
        <v>41891</v>
      </c>
      <c r="B1180">
        <v>579.42181240000002</v>
      </c>
      <c r="C1180" s="2">
        <f t="shared" si="81"/>
        <v>-1.4769729326003492E-2</v>
      </c>
      <c r="D1180">
        <v>-3.3781080470217062</v>
      </c>
      <c r="E1180" s="15">
        <v>0</v>
      </c>
      <c r="F1180">
        <f t="shared" si="84"/>
        <v>7.323659466491203E-2</v>
      </c>
      <c r="G1180">
        <f t="shared" si="82"/>
        <v>0</v>
      </c>
      <c r="H1180" t="e">
        <f t="shared" si="83"/>
        <v>#NUM!</v>
      </c>
    </row>
    <row r="1181" spans="1:8" x14ac:dyDescent="0.2">
      <c r="A1181" s="1">
        <v>41892</v>
      </c>
      <c r="B1181">
        <v>581.50611100000003</v>
      </c>
      <c r="C1181" s="2">
        <f t="shared" si="81"/>
        <v>3.5972042394585057E-3</v>
      </c>
      <c r="D1181">
        <v>-1.2435524822465969</v>
      </c>
      <c r="E1181" s="15">
        <v>0</v>
      </c>
      <c r="F1181">
        <f t="shared" si="84"/>
        <v>9.2432428381481625E-3</v>
      </c>
      <c r="G1181">
        <f t="shared" si="82"/>
        <v>0</v>
      </c>
      <c r="H1181" t="e">
        <f t="shared" si="83"/>
        <v>#NUM!</v>
      </c>
    </row>
    <row r="1182" spans="1:8" x14ac:dyDescent="0.2">
      <c r="A1182" s="1">
        <v>41893</v>
      </c>
      <c r="B1182">
        <v>579.76092540000002</v>
      </c>
      <c r="C1182" s="2">
        <f t="shared" si="81"/>
        <v>-3.0011474806324319E-3</v>
      </c>
      <c r="D1182">
        <v>-1.8342999954554153</v>
      </c>
      <c r="E1182" s="15">
        <v>1</v>
      </c>
      <c r="F1182">
        <f t="shared" si="84"/>
        <v>3.760782374251744E-3</v>
      </c>
      <c r="G1182">
        <f t="shared" si="82"/>
        <v>265.90211835880638</v>
      </c>
      <c r="H1182">
        <f t="shared" si="83"/>
        <v>-4.849443594666675</v>
      </c>
    </row>
    <row r="1183" spans="1:8" x14ac:dyDescent="0.2">
      <c r="A1183" s="1">
        <v>41894</v>
      </c>
      <c r="B1183">
        <v>574.04654419999997</v>
      </c>
      <c r="C1183" s="2">
        <f t="shared" si="81"/>
        <v>-9.8564441818107529E-3</v>
      </c>
      <c r="D1183">
        <v>2.2842251990007849</v>
      </c>
      <c r="E1183" s="15">
        <v>0</v>
      </c>
      <c r="F1183">
        <f t="shared" si="84"/>
        <v>9179.9892615673361</v>
      </c>
      <c r="G1183">
        <f t="shared" si="82"/>
        <v>0</v>
      </c>
      <c r="H1183" t="e">
        <f t="shared" si="83"/>
        <v>#NUM!</v>
      </c>
    </row>
    <row r="1184" spans="1:8" x14ac:dyDescent="0.2">
      <c r="A1184" s="1">
        <v>41897</v>
      </c>
      <c r="B1184">
        <v>571.5334709</v>
      </c>
      <c r="C1184" s="2">
        <f t="shared" si="81"/>
        <v>-4.3778214944264334E-3</v>
      </c>
      <c r="D1184">
        <v>-0.55584169973738207</v>
      </c>
      <c r="E1184" s="15">
        <v>0</v>
      </c>
      <c r="F1184">
        <f t="shared" si="84"/>
        <v>786.47416861580462</v>
      </c>
      <c r="G1184">
        <f t="shared" si="82"/>
        <v>0</v>
      </c>
      <c r="H1184" t="e">
        <f t="shared" si="83"/>
        <v>#NUM!</v>
      </c>
    </row>
    <row r="1185" spans="1:8" x14ac:dyDescent="0.2">
      <c r="A1185" s="1">
        <v>41898</v>
      </c>
      <c r="B1185">
        <v>578.36473960000001</v>
      </c>
      <c r="C1185" s="2">
        <f t="shared" si="81"/>
        <v>1.1952526051086276E-2</v>
      </c>
      <c r="D1185">
        <v>-3.7302451838896307</v>
      </c>
      <c r="E1185" s="15">
        <v>0</v>
      </c>
      <c r="F1185">
        <f t="shared" si="84"/>
        <v>67.382054566248712</v>
      </c>
      <c r="G1185">
        <f t="shared" si="82"/>
        <v>0</v>
      </c>
      <c r="H1185" t="e">
        <f t="shared" si="83"/>
        <v>#NUM!</v>
      </c>
    </row>
    <row r="1186" spans="1:8" x14ac:dyDescent="0.2">
      <c r="A1186" s="1">
        <v>41899</v>
      </c>
      <c r="B1186">
        <v>583.1715246</v>
      </c>
      <c r="C1186" s="2">
        <f t="shared" si="81"/>
        <v>8.310992477384406E-3</v>
      </c>
      <c r="D1186">
        <v>-0.30466644106338658</v>
      </c>
      <c r="E1186" s="15">
        <v>0</v>
      </c>
      <c r="F1186">
        <f t="shared" si="84"/>
        <v>5.7757474634605614</v>
      </c>
      <c r="G1186">
        <f t="shared" si="82"/>
        <v>0</v>
      </c>
      <c r="H1186" t="e">
        <f t="shared" si="83"/>
        <v>#NUM!</v>
      </c>
    </row>
    <row r="1187" spans="1:8" x14ac:dyDescent="0.2">
      <c r="A1187" s="1">
        <v>41900</v>
      </c>
      <c r="B1187">
        <v>587.65927650000003</v>
      </c>
      <c r="C1187" s="2">
        <f t="shared" si="81"/>
        <v>7.6954235772712055E-3</v>
      </c>
      <c r="D1187">
        <v>-7.4066833989835268E-2</v>
      </c>
      <c r="E1187" s="15">
        <v>1</v>
      </c>
      <c r="F1187">
        <f t="shared" si="84"/>
        <v>0.4977907167655311</v>
      </c>
      <c r="G1187">
        <f t="shared" si="82"/>
        <v>2.008876353696686</v>
      </c>
      <c r="H1187">
        <f t="shared" si="83"/>
        <v>-0.66730907174514598</v>
      </c>
    </row>
    <row r="1188" spans="1:8" x14ac:dyDescent="0.2">
      <c r="A1188" s="1">
        <v>41901</v>
      </c>
      <c r="B1188">
        <v>594.45062780000001</v>
      </c>
      <c r="C1188" s="2">
        <f t="shared" si="81"/>
        <v>1.1556613792346003E-2</v>
      </c>
      <c r="D1188">
        <v>0.50175148597135111</v>
      </c>
      <c r="E1188" s="15">
        <v>0</v>
      </c>
      <c r="F1188">
        <f t="shared" si="84"/>
        <v>0.56958387676140565</v>
      </c>
      <c r="G1188">
        <f t="shared" si="82"/>
        <v>0</v>
      </c>
      <c r="H1188" t="e">
        <f t="shared" si="83"/>
        <v>#NUM!</v>
      </c>
    </row>
    <row r="1189" spans="1:8" x14ac:dyDescent="0.2">
      <c r="A1189" s="1">
        <v>41904</v>
      </c>
      <c r="B1189">
        <v>585.76443180000001</v>
      </c>
      <c r="C1189" s="2">
        <f t="shared" si="81"/>
        <v>-1.461214034233037E-2</v>
      </c>
      <c r="D1189">
        <v>-2.2643963538876806</v>
      </c>
      <c r="E1189" s="15">
        <v>0</v>
      </c>
      <c r="F1189">
        <f t="shared" si="84"/>
        <v>5.1766478030188572E-2</v>
      </c>
      <c r="G1189">
        <f t="shared" si="82"/>
        <v>0</v>
      </c>
      <c r="H1189" t="e">
        <f t="shared" si="83"/>
        <v>#NUM!</v>
      </c>
    </row>
    <row r="1190" spans="1:8" x14ac:dyDescent="0.2">
      <c r="A1190" s="1">
        <v>41905</v>
      </c>
      <c r="B1190">
        <v>579.54150279999999</v>
      </c>
      <c r="C1190" s="2">
        <f t="shared" si="81"/>
        <v>-1.0623603384175334E-2</v>
      </c>
      <c r="D1190">
        <v>-0.27296048797180772</v>
      </c>
      <c r="E1190" s="15">
        <v>0</v>
      </c>
      <c r="F1190">
        <f t="shared" si="84"/>
        <v>7.4038476159106106E-3</v>
      </c>
      <c r="G1190">
        <f t="shared" si="82"/>
        <v>0</v>
      </c>
      <c r="H1190" t="e">
        <f t="shared" si="83"/>
        <v>#NUM!</v>
      </c>
    </row>
    <row r="1191" spans="1:8" x14ac:dyDescent="0.2">
      <c r="A1191" s="1">
        <v>41906</v>
      </c>
      <c r="B1191">
        <v>586.38272019999999</v>
      </c>
      <c r="C1191" s="2">
        <f t="shared" si="81"/>
        <v>1.1804534044494329E-2</v>
      </c>
      <c r="D1191">
        <v>-2.1111610267828786</v>
      </c>
      <c r="E1191" s="15">
        <v>0</v>
      </c>
      <c r="F1191">
        <f t="shared" si="84"/>
        <v>3.6031970736615073E-3</v>
      </c>
      <c r="G1191">
        <f t="shared" si="82"/>
        <v>0</v>
      </c>
      <c r="H1191" t="e">
        <f t="shared" si="83"/>
        <v>#NUM!</v>
      </c>
    </row>
    <row r="1192" spans="1:8" x14ac:dyDescent="0.2">
      <c r="A1192" s="1">
        <v>41907</v>
      </c>
      <c r="B1192">
        <v>573.48806950000005</v>
      </c>
      <c r="C1192" s="2">
        <f t="shared" si="81"/>
        <v>-2.1990161469290757E-2</v>
      </c>
      <c r="D1192">
        <v>-2.8628572196415525</v>
      </c>
      <c r="E1192" s="15">
        <v>0</v>
      </c>
      <c r="F1192">
        <f t="shared" si="84"/>
        <v>3.2775864322409001E-3</v>
      </c>
      <c r="G1192">
        <f t="shared" si="82"/>
        <v>0</v>
      </c>
      <c r="H1192" t="e">
        <f t="shared" si="83"/>
        <v>#NUM!</v>
      </c>
    </row>
    <row r="1193" spans="1:8" x14ac:dyDescent="0.2">
      <c r="A1193" s="1">
        <v>41908</v>
      </c>
      <c r="B1193">
        <v>575.52250300000003</v>
      </c>
      <c r="C1193" s="2">
        <f t="shared" si="81"/>
        <v>3.5474731004843984E-3</v>
      </c>
      <c r="D1193">
        <v>-1.1613209209690634</v>
      </c>
      <c r="E1193" s="15">
        <v>0</v>
      </c>
      <c r="F1193">
        <f t="shared" si="84"/>
        <v>3.249690605295548E-3</v>
      </c>
      <c r="G1193">
        <f t="shared" si="82"/>
        <v>0</v>
      </c>
      <c r="H1193" t="e">
        <f t="shared" si="83"/>
        <v>#NUM!</v>
      </c>
    </row>
    <row r="1194" spans="1:8" x14ac:dyDescent="0.2">
      <c r="A1194" s="1">
        <v>41911</v>
      </c>
      <c r="B1194">
        <v>574.7845231</v>
      </c>
      <c r="C1194" s="2">
        <f t="shared" si="81"/>
        <v>-1.282278097125991E-3</v>
      </c>
      <c r="D1194">
        <v>-1.3614623876784011</v>
      </c>
      <c r="E1194" s="15">
        <v>0</v>
      </c>
      <c r="F1194">
        <f t="shared" si="84"/>
        <v>3.2473007044078808E-3</v>
      </c>
      <c r="G1194">
        <f t="shared" si="82"/>
        <v>0</v>
      </c>
      <c r="H1194" t="e">
        <f t="shared" si="83"/>
        <v>#NUM!</v>
      </c>
    </row>
    <row r="1195" spans="1:8" x14ac:dyDescent="0.2">
      <c r="A1195" s="1">
        <v>41912</v>
      </c>
      <c r="B1195">
        <v>575.78178109999999</v>
      </c>
      <c r="C1195" s="2">
        <f t="shared" si="81"/>
        <v>1.735011921722337E-3</v>
      </c>
      <c r="D1195">
        <v>-2.3530699195526088</v>
      </c>
      <c r="E1195" s="15">
        <v>0</v>
      </c>
      <c r="F1195">
        <f t="shared" si="84"/>
        <v>3.2470959559964402E-3</v>
      </c>
      <c r="G1195">
        <f t="shared" si="82"/>
        <v>0</v>
      </c>
      <c r="H1195" t="e">
        <f t="shared" si="83"/>
        <v>#NUM!</v>
      </c>
    </row>
    <row r="1196" spans="1:8" x14ac:dyDescent="0.2">
      <c r="A1196" s="1">
        <v>41913</v>
      </c>
      <c r="B1196">
        <v>566.71667639999998</v>
      </c>
      <c r="C1196" s="2">
        <f t="shared" si="81"/>
        <v>-1.5743993640579618E-2</v>
      </c>
      <c r="D1196">
        <v>-10.074285567415952</v>
      </c>
      <c r="E1196" s="15">
        <v>0</v>
      </c>
      <c r="F1196">
        <f t="shared" si="84"/>
        <v>3.2470784147200621E-3</v>
      </c>
      <c r="G1196">
        <f t="shared" si="82"/>
        <v>0</v>
      </c>
      <c r="H1196" t="e">
        <f t="shared" si="83"/>
        <v>#NUM!</v>
      </c>
    </row>
    <row r="1197" spans="1:8" x14ac:dyDescent="0.2">
      <c r="A1197" s="1">
        <v>41914</v>
      </c>
      <c r="B1197">
        <v>568.52167770000005</v>
      </c>
      <c r="C1197" s="2">
        <f t="shared" si="81"/>
        <v>3.1850153262934257E-3</v>
      </c>
      <c r="D1197">
        <v>-1.2023003438012168</v>
      </c>
      <c r="E1197" s="15">
        <v>1</v>
      </c>
      <c r="F1197">
        <f t="shared" si="84"/>
        <v>3.2470769119177945E-3</v>
      </c>
      <c r="G1197">
        <f t="shared" si="82"/>
        <v>307.96929888838946</v>
      </c>
      <c r="H1197">
        <f t="shared" si="83"/>
        <v>-4.977014848774842</v>
      </c>
    </row>
    <row r="1198" spans="1:8" x14ac:dyDescent="0.2">
      <c r="A1198" s="1">
        <v>41915</v>
      </c>
      <c r="B1198">
        <v>573.70749209999997</v>
      </c>
      <c r="C1198" s="2">
        <f t="shared" si="81"/>
        <v>9.1215772474666935E-3</v>
      </c>
      <c r="D1198">
        <v>1.8639037219585268</v>
      </c>
      <c r="E1198" s="15">
        <v>0</v>
      </c>
      <c r="F1198">
        <f t="shared" si="84"/>
        <v>12314.403681233665</v>
      </c>
      <c r="G1198">
        <f t="shared" si="82"/>
        <v>0</v>
      </c>
      <c r="H1198" t="e">
        <f t="shared" si="83"/>
        <v>#NUM!</v>
      </c>
    </row>
    <row r="1199" spans="1:8" x14ac:dyDescent="0.2">
      <c r="A1199" s="1">
        <v>41918</v>
      </c>
      <c r="B1199">
        <v>575.77183239999999</v>
      </c>
      <c r="C1199" s="2">
        <f t="shared" si="81"/>
        <v>3.5982453226185195E-3</v>
      </c>
      <c r="D1199">
        <v>-0.60552377894756648</v>
      </c>
      <c r="E1199" s="15">
        <v>0</v>
      </c>
      <c r="F1199">
        <f t="shared" si="84"/>
        <v>1055.006799627336</v>
      </c>
      <c r="G1199">
        <f t="shared" si="82"/>
        <v>0</v>
      </c>
      <c r="H1199" t="e">
        <f t="shared" si="83"/>
        <v>#NUM!</v>
      </c>
    </row>
    <row r="1200" spans="1:8" x14ac:dyDescent="0.2">
      <c r="A1200" s="1">
        <v>41919</v>
      </c>
      <c r="B1200">
        <v>562.19901660000005</v>
      </c>
      <c r="C1200" s="2">
        <f t="shared" si="81"/>
        <v>-2.3573254258417147E-2</v>
      </c>
      <c r="D1200">
        <v>-7.551319363978882</v>
      </c>
      <c r="E1200" s="15">
        <v>0</v>
      </c>
      <c r="F1200">
        <f t="shared" si="84"/>
        <v>90.387874557866681</v>
      </c>
      <c r="G1200">
        <f t="shared" si="82"/>
        <v>0</v>
      </c>
      <c r="H1200" t="e">
        <f t="shared" si="83"/>
        <v>#NUM!</v>
      </c>
    </row>
    <row r="1201" spans="1:8" x14ac:dyDescent="0.2">
      <c r="A1201" s="1">
        <v>41920</v>
      </c>
      <c r="B1201">
        <v>570.93507969999996</v>
      </c>
      <c r="C1201" s="2">
        <f t="shared" si="81"/>
        <v>1.5539093527471513E-2</v>
      </c>
      <c r="D1201">
        <v>-1.6591832148895214</v>
      </c>
      <c r="E1201" s="15">
        <v>0</v>
      </c>
      <c r="F1201">
        <f t="shared" si="84"/>
        <v>7.7467099922714491</v>
      </c>
      <c r="G1201">
        <f t="shared" si="82"/>
        <v>0</v>
      </c>
      <c r="H1201" t="e">
        <f t="shared" si="83"/>
        <v>#NUM!</v>
      </c>
    </row>
    <row r="1202" spans="1:8" x14ac:dyDescent="0.2">
      <c r="A1202" s="1">
        <v>41921</v>
      </c>
      <c r="B1202">
        <v>559.34683129999996</v>
      </c>
      <c r="C1202" s="2">
        <f t="shared" si="81"/>
        <v>-2.0296963371192901E-2</v>
      </c>
      <c r="D1202">
        <v>-2.306187090985067</v>
      </c>
      <c r="E1202" s="15">
        <v>1</v>
      </c>
      <c r="F1202">
        <f t="shared" si="84"/>
        <v>0.66664769692933201</v>
      </c>
      <c r="G1202">
        <f t="shared" si="82"/>
        <v>1.5000426831235345</v>
      </c>
      <c r="H1202">
        <f t="shared" si="83"/>
        <v>-0.54971561632520405</v>
      </c>
    </row>
    <row r="1203" spans="1:8" x14ac:dyDescent="0.2">
      <c r="A1203" s="1">
        <v>41922</v>
      </c>
      <c r="B1203">
        <v>543.00166490000004</v>
      </c>
      <c r="C1203" s="2">
        <f t="shared" si="81"/>
        <v>-2.9221880746175825E-2</v>
      </c>
      <c r="D1203">
        <v>0.43971687841984736</v>
      </c>
      <c r="E1203" s="15">
        <v>0</v>
      </c>
      <c r="F1203">
        <f t="shared" si="84"/>
        <v>0.35223200575533842</v>
      </c>
      <c r="G1203">
        <f t="shared" si="82"/>
        <v>0</v>
      </c>
      <c r="H1203" t="e">
        <f t="shared" si="83"/>
        <v>#NUM!</v>
      </c>
    </row>
    <row r="1204" spans="1:8" x14ac:dyDescent="0.2">
      <c r="A1204" s="1">
        <v>41925</v>
      </c>
      <c r="B1204">
        <v>531.75246760000005</v>
      </c>
      <c r="C1204" s="2">
        <f t="shared" si="81"/>
        <v>-2.0716690255584501E-2</v>
      </c>
      <c r="D1204">
        <v>-0.29105554719315496</v>
      </c>
      <c r="E1204" s="15">
        <v>0</v>
      </c>
      <c r="F1204">
        <f t="shared" si="84"/>
        <v>3.3145433725922165E-2</v>
      </c>
      <c r="G1204">
        <f t="shared" si="82"/>
        <v>0</v>
      </c>
      <c r="H1204" t="e">
        <f t="shared" si="83"/>
        <v>#NUM!</v>
      </c>
    </row>
    <row r="1205" spans="1:8" x14ac:dyDescent="0.2">
      <c r="A1205" s="1">
        <v>41926</v>
      </c>
      <c r="B1205">
        <v>536.4695309</v>
      </c>
      <c r="C1205" s="2">
        <f t="shared" si="81"/>
        <v>8.8707877958514036E-3</v>
      </c>
      <c r="D1205">
        <v>-1.4281952226157433</v>
      </c>
      <c r="E1205" s="15">
        <v>0</v>
      </c>
      <c r="F1205">
        <f t="shared" si="84"/>
        <v>5.8085390990045222E-3</v>
      </c>
      <c r="G1205">
        <f t="shared" si="82"/>
        <v>0</v>
      </c>
      <c r="H1205" t="e">
        <f t="shared" si="83"/>
        <v>#NUM!</v>
      </c>
    </row>
    <row r="1206" spans="1:8" x14ac:dyDescent="0.2">
      <c r="A1206" s="1">
        <v>41927</v>
      </c>
      <c r="B1206">
        <v>528.58118930000001</v>
      </c>
      <c r="C1206" s="2">
        <f t="shared" si="81"/>
        <v>-1.4704174506921637E-2</v>
      </c>
      <c r="D1206">
        <v>-2.6575951139084095</v>
      </c>
      <c r="E1206" s="15">
        <v>0</v>
      </c>
      <c r="F1206">
        <f t="shared" si="84"/>
        <v>3.4665232533038601E-3</v>
      </c>
      <c r="G1206">
        <f t="shared" si="82"/>
        <v>0</v>
      </c>
      <c r="H1206" t="e">
        <f t="shared" si="83"/>
        <v>#NUM!</v>
      </c>
    </row>
    <row r="1207" spans="1:8" x14ac:dyDescent="0.2">
      <c r="A1207" s="1">
        <v>41928</v>
      </c>
      <c r="B1207">
        <v>523.07628109999996</v>
      </c>
      <c r="C1207" s="2">
        <f t="shared" si="81"/>
        <v>-1.0414498872519839E-2</v>
      </c>
      <c r="D1207">
        <v>-0.29173182298554307</v>
      </c>
      <c r="E1207" s="15">
        <v>1</v>
      </c>
      <c r="F1207">
        <f t="shared" si="84"/>
        <v>3.2658772656607694E-3</v>
      </c>
      <c r="G1207">
        <f t="shared" si="82"/>
        <v>306.19644238151574</v>
      </c>
      <c r="H1207">
        <f t="shared" si="83"/>
        <v>-4.9720002809829094</v>
      </c>
    </row>
    <row r="1208" spans="1:8" x14ac:dyDescent="0.2">
      <c r="A1208" s="1">
        <v>41929</v>
      </c>
      <c r="B1208">
        <v>509.77272399999998</v>
      </c>
      <c r="C1208" s="2">
        <f t="shared" si="81"/>
        <v>-2.5433302140986675E-2</v>
      </c>
      <c r="D1208">
        <v>1.4421052277509119</v>
      </c>
      <c r="E1208" s="15">
        <v>0</v>
      </c>
      <c r="F1208">
        <f t="shared" si="84"/>
        <v>12173.033572773626</v>
      </c>
      <c r="G1208">
        <f t="shared" si="82"/>
        <v>0</v>
      </c>
      <c r="H1208" t="e">
        <f t="shared" si="83"/>
        <v>#NUM!</v>
      </c>
    </row>
    <row r="1209" spans="1:8" x14ac:dyDescent="0.2">
      <c r="A1209" s="1">
        <v>41932</v>
      </c>
      <c r="B1209">
        <v>519.41629160000002</v>
      </c>
      <c r="C1209" s="2">
        <f t="shared" si="81"/>
        <v>1.8917386407673001E-2</v>
      </c>
      <c r="D1209">
        <v>-1.7438037853994175</v>
      </c>
      <c r="E1209" s="15">
        <v>0</v>
      </c>
      <c r="F1209">
        <f t="shared" si="84"/>
        <v>1042.8952910364583</v>
      </c>
      <c r="G1209">
        <f t="shared" si="82"/>
        <v>0</v>
      </c>
      <c r="H1209" t="e">
        <f t="shared" si="83"/>
        <v>#NUM!</v>
      </c>
    </row>
    <row r="1210" spans="1:8" x14ac:dyDescent="0.2">
      <c r="A1210" s="1">
        <v>41933</v>
      </c>
      <c r="B1210">
        <v>525.10070499999995</v>
      </c>
      <c r="C1210" s="2">
        <f t="shared" si="81"/>
        <v>1.0943848877919804E-2</v>
      </c>
      <c r="D1210">
        <v>-0.42149255493978199</v>
      </c>
      <c r="E1210" s="15">
        <v>1</v>
      </c>
      <c r="F1210">
        <f t="shared" si="84"/>
        <v>89.350253225147895</v>
      </c>
      <c r="G1210">
        <f t="shared" si="82"/>
        <v>1.1191910083121589E-2</v>
      </c>
      <c r="H1210">
        <f t="shared" si="83"/>
        <v>-63735753.435421102</v>
      </c>
    </row>
    <row r="1211" spans="1:8" x14ac:dyDescent="0.2">
      <c r="A1211" s="1">
        <v>41934</v>
      </c>
      <c r="B1211">
        <v>531.25386949999995</v>
      </c>
      <c r="C1211" s="2">
        <f t="shared" si="81"/>
        <v>1.1718065585152858E-2</v>
      </c>
      <c r="D1211">
        <v>7.0744462562445112E-2</v>
      </c>
      <c r="E1211" s="15">
        <v>1</v>
      </c>
      <c r="F1211">
        <f t="shared" si="84"/>
        <v>7.6578308035422928</v>
      </c>
      <c r="G1211">
        <f t="shared" si="82"/>
        <v>0.13058528265438155</v>
      </c>
      <c r="H1211">
        <f t="shared" si="83"/>
        <v>-3437.1596544632571</v>
      </c>
    </row>
    <row r="1212" spans="1:8" x14ac:dyDescent="0.2">
      <c r="A1212" s="1">
        <v>41935</v>
      </c>
      <c r="B1212">
        <v>542.49305630000003</v>
      </c>
      <c r="C1212" s="2">
        <f t="shared" si="81"/>
        <v>2.1155962234360882E-2</v>
      </c>
      <c r="D1212">
        <v>0.80541421966148774</v>
      </c>
      <c r="E1212" s="15">
        <v>0</v>
      </c>
      <c r="F1212">
        <f t="shared" si="84"/>
        <v>0.66124725575600363</v>
      </c>
      <c r="G1212">
        <f t="shared" si="82"/>
        <v>0</v>
      </c>
      <c r="H1212" t="e">
        <f t="shared" si="83"/>
        <v>#NUM!</v>
      </c>
    </row>
    <row r="1213" spans="1:8" x14ac:dyDescent="0.2">
      <c r="A1213" s="1">
        <v>41936</v>
      </c>
      <c r="B1213">
        <v>538.30449999999996</v>
      </c>
      <c r="C1213" s="2">
        <f t="shared" si="81"/>
        <v>-7.7209399297523736E-3</v>
      </c>
      <c r="D1213">
        <v>-1.3649533802443763</v>
      </c>
      <c r="E1213" s="15">
        <v>0</v>
      </c>
      <c r="F1213">
        <f t="shared" si="84"/>
        <v>5.9619494585493614E-2</v>
      </c>
      <c r="G1213">
        <f t="shared" si="82"/>
        <v>0</v>
      </c>
      <c r="H1213" t="e">
        <f t="shared" si="83"/>
        <v>#NUM!</v>
      </c>
    </row>
    <row r="1214" spans="1:8" x14ac:dyDescent="0.2">
      <c r="A1214" s="1">
        <v>41939</v>
      </c>
      <c r="B1214">
        <v>539.29180929999995</v>
      </c>
      <c r="C1214" s="2">
        <f t="shared" si="81"/>
        <v>1.8341093191678551E-3</v>
      </c>
      <c r="D1214">
        <v>-1.2375500050324415</v>
      </c>
      <c r="E1214" s="15">
        <v>1</v>
      </c>
      <c r="F1214">
        <f t="shared" si="84"/>
        <v>8.0766339532060034E-3</v>
      </c>
      <c r="G1214">
        <f t="shared" si="82"/>
        <v>123.81395588728545</v>
      </c>
      <c r="H1214">
        <f t="shared" si="83"/>
        <v>-4.1855392035303547</v>
      </c>
    </row>
    <row r="1215" spans="1:8" x14ac:dyDescent="0.2">
      <c r="A1215" s="1">
        <v>41940</v>
      </c>
      <c r="B1215">
        <v>547.39957249999998</v>
      </c>
      <c r="C1215" s="2">
        <f t="shared" si="81"/>
        <v>1.5034092971899365E-2</v>
      </c>
      <c r="D1215">
        <v>7.1969448684336932</v>
      </c>
      <c r="E1215" s="15">
        <v>0</v>
      </c>
      <c r="F1215">
        <f t="shared" si="84"/>
        <v>1990.3910999734373</v>
      </c>
      <c r="G1215">
        <f t="shared" si="82"/>
        <v>0</v>
      </c>
      <c r="H1215" t="e">
        <f t="shared" si="83"/>
        <v>#NUM!</v>
      </c>
    </row>
    <row r="1216" spans="1:8" x14ac:dyDescent="0.2">
      <c r="A1216" s="1">
        <v>41941</v>
      </c>
      <c r="B1216">
        <v>547.82840710000005</v>
      </c>
      <c r="C1216" s="2">
        <f t="shared" si="81"/>
        <v>7.8340324242776591E-4</v>
      </c>
      <c r="D1216">
        <v>-0.94789155262694957</v>
      </c>
      <c r="E1216" s="15">
        <v>1</v>
      </c>
      <c r="F1216">
        <f t="shared" si="84"/>
        <v>170.5244402917489</v>
      </c>
      <c r="G1216">
        <f t="shared" si="82"/>
        <v>5.8642620277134933E-3</v>
      </c>
      <c r="H1216">
        <f t="shared" si="83"/>
        <v>-845564085.83251274</v>
      </c>
    </row>
    <row r="1217" spans="1:8" x14ac:dyDescent="0.2">
      <c r="A1217" s="1">
        <v>41942</v>
      </c>
      <c r="B1217">
        <v>548.80576780000001</v>
      </c>
      <c r="C1217" s="2">
        <f t="shared" si="81"/>
        <v>1.7840635632126985E-3</v>
      </c>
      <c r="D1217">
        <v>1.2773247117077116</v>
      </c>
      <c r="E1217" s="15">
        <v>1</v>
      </c>
      <c r="F1217">
        <f t="shared" si="84"/>
        <v>14.612201899470552</v>
      </c>
      <c r="G1217">
        <f t="shared" si="82"/>
        <v>6.8435955571913717E-2</v>
      </c>
      <c r="H1217">
        <f t="shared" si="83"/>
        <v>-45586.942576918445</v>
      </c>
    </row>
    <row r="1218" spans="1:8" x14ac:dyDescent="0.2">
      <c r="A1218" s="1">
        <v>41943</v>
      </c>
      <c r="B1218">
        <v>557.55177960000003</v>
      </c>
      <c r="C1218" s="2">
        <f t="shared" si="81"/>
        <v>1.5936442933280736E-2</v>
      </c>
      <c r="D1218">
        <v>7.9326654396678418</v>
      </c>
      <c r="E1218" s="15">
        <v>0</v>
      </c>
      <c r="F1218">
        <f t="shared" si="84"/>
        <v>1.2554385715969982</v>
      </c>
      <c r="G1218">
        <f t="shared" si="82"/>
        <v>0</v>
      </c>
      <c r="H1218" t="e">
        <f t="shared" si="83"/>
        <v>#NUM!</v>
      </c>
    </row>
    <row r="1219" spans="1:8" x14ac:dyDescent="0.2">
      <c r="A1219" s="1">
        <v>41946</v>
      </c>
      <c r="B1219">
        <v>553.70233519999999</v>
      </c>
      <c r="C1219" s="2">
        <f t="shared" si="81"/>
        <v>-6.9041917555383199E-3</v>
      </c>
      <c r="D1219">
        <v>-1.4332329230834824</v>
      </c>
      <c r="E1219" s="15">
        <v>0</v>
      </c>
      <c r="F1219">
        <f t="shared" si="84"/>
        <v>0.11052525751392343</v>
      </c>
      <c r="G1219">
        <f t="shared" si="82"/>
        <v>0</v>
      </c>
      <c r="H1219" t="e">
        <f t="shared" si="83"/>
        <v>#NUM!</v>
      </c>
    </row>
    <row r="1220" spans="1:8" x14ac:dyDescent="0.2">
      <c r="A1220" s="1">
        <v>41947</v>
      </c>
      <c r="B1220">
        <v>552.59533550000003</v>
      </c>
      <c r="C1220" s="2">
        <f t="shared" ref="C1220:C1283" si="85">(B1220-B1219)/B1219</f>
        <v>-1.9992686135233773E-3</v>
      </c>
      <c r="D1220">
        <v>-0.71042684150253665</v>
      </c>
      <c r="E1220" s="15">
        <v>1</v>
      </c>
      <c r="F1220">
        <f t="shared" si="84"/>
        <v>1.2437849996321242E-2</v>
      </c>
      <c r="G1220">
        <f t="shared" si="82"/>
        <v>80.39974756857265</v>
      </c>
      <c r="H1220">
        <f t="shared" si="83"/>
        <v>-3.8105093943208668</v>
      </c>
    </row>
    <row r="1221" spans="1:8" x14ac:dyDescent="0.2">
      <c r="A1221" s="1">
        <v>41948</v>
      </c>
      <c r="B1221">
        <v>544.42775759999995</v>
      </c>
      <c r="C1221" s="2">
        <f t="shared" si="85"/>
        <v>-1.4780396024533729E-2</v>
      </c>
      <c r="D1221">
        <v>6.3929015463738752</v>
      </c>
      <c r="E1221" s="15">
        <v>0</v>
      </c>
      <c r="F1221">
        <f t="shared" si="84"/>
        <v>839.2858111933358</v>
      </c>
      <c r="G1221">
        <f t="shared" si="82"/>
        <v>0</v>
      </c>
      <c r="H1221" t="e">
        <f t="shared" si="83"/>
        <v>#NUM!</v>
      </c>
    </row>
    <row r="1222" spans="1:8" x14ac:dyDescent="0.2">
      <c r="A1222" s="1">
        <v>41949</v>
      </c>
      <c r="B1222">
        <v>540.55835500000001</v>
      </c>
      <c r="C1222" s="2">
        <f t="shared" si="85"/>
        <v>-7.1072838333178043E-3</v>
      </c>
      <c r="D1222">
        <v>-0.51914117717004715</v>
      </c>
      <c r="E1222" s="15">
        <v>0</v>
      </c>
      <c r="F1222">
        <f t="shared" si="84"/>
        <v>71.906551786656081</v>
      </c>
      <c r="G1222">
        <f t="shared" si="82"/>
        <v>0</v>
      </c>
      <c r="H1222" t="e">
        <f t="shared" si="83"/>
        <v>#NUM!</v>
      </c>
    </row>
    <row r="1223" spans="1:8" x14ac:dyDescent="0.2">
      <c r="A1223" s="1">
        <v>41950</v>
      </c>
      <c r="B1223">
        <v>539.5311901</v>
      </c>
      <c r="C1223" s="2">
        <f t="shared" si="85"/>
        <v>-1.9001924408327802E-3</v>
      </c>
      <c r="D1223">
        <v>-0.73264154276138749</v>
      </c>
      <c r="E1223" s="15">
        <v>0</v>
      </c>
      <c r="F1223">
        <f t="shared" si="84"/>
        <v>6.1633717466367761</v>
      </c>
      <c r="G1223">
        <f t="shared" si="82"/>
        <v>0</v>
      </c>
      <c r="H1223" t="e">
        <f t="shared" si="83"/>
        <v>#NUM!</v>
      </c>
    </row>
    <row r="1224" spans="1:8" x14ac:dyDescent="0.2">
      <c r="A1224" s="1">
        <v>41953</v>
      </c>
      <c r="B1224">
        <v>545.99343799999997</v>
      </c>
      <c r="C1224" s="2">
        <f t="shared" si="85"/>
        <v>1.1977524225804653E-2</v>
      </c>
      <c r="D1224">
        <v>-7.3033216891207982</v>
      </c>
      <c r="E1224" s="15">
        <v>0</v>
      </c>
      <c r="F1224">
        <f t="shared" si="84"/>
        <v>0.5309993977721571</v>
      </c>
      <c r="G1224">
        <f t="shared" ref="G1224:G1287" si="86">E1224/F1224</f>
        <v>0</v>
      </c>
      <c r="H1224" t="e">
        <f t="shared" ref="H1224:H1287" si="87">-LOG(G1224^2)-(F1224^2)/(G1224^2)</f>
        <v>#NUM!</v>
      </c>
    </row>
    <row r="1225" spans="1:8" x14ac:dyDescent="0.2">
      <c r="A1225" s="1">
        <v>41954</v>
      </c>
      <c r="B1225">
        <v>548.78580959999999</v>
      </c>
      <c r="C1225" s="2">
        <f t="shared" si="85"/>
        <v>5.1142951648441319E-3</v>
      </c>
      <c r="D1225">
        <v>-0.57300899013622719</v>
      </c>
      <c r="E1225" s="15">
        <v>0</v>
      </c>
      <c r="F1225">
        <f t="shared" ref="F1225:F1288" si="88" xml:space="preserve"> $K$5 + $K$6 * G1224 ^ 2 + $K$7 * F1224</f>
        <v>4.8460855265635615E-2</v>
      </c>
      <c r="G1225">
        <f t="shared" si="86"/>
        <v>0</v>
      </c>
      <c r="H1225" t="e">
        <f t="shared" si="87"/>
        <v>#NUM!</v>
      </c>
    </row>
    <row r="1226" spans="1:8" x14ac:dyDescent="0.2">
      <c r="A1226" s="1">
        <v>41955</v>
      </c>
      <c r="B1226">
        <v>545.81393279999998</v>
      </c>
      <c r="C1226" s="2">
        <f t="shared" si="85"/>
        <v>-5.4153674311771382E-3</v>
      </c>
      <c r="D1226">
        <v>-2.0588687701098265</v>
      </c>
      <c r="E1226" s="15">
        <v>0</v>
      </c>
      <c r="F1226">
        <f t="shared" si="88"/>
        <v>7.1206471646468889E-3</v>
      </c>
      <c r="G1226">
        <f t="shared" si="86"/>
        <v>0</v>
      </c>
      <c r="H1226" t="e">
        <f t="shared" si="87"/>
        <v>#NUM!</v>
      </c>
    </row>
    <row r="1227" spans="1:8" x14ac:dyDescent="0.2">
      <c r="A1227" s="1">
        <v>41956</v>
      </c>
      <c r="B1227">
        <v>543.88924210000005</v>
      </c>
      <c r="C1227" s="2">
        <f t="shared" si="85"/>
        <v>-3.5262762350648596E-3</v>
      </c>
      <c r="D1227">
        <v>-0.34883896986130208</v>
      </c>
      <c r="E1227" s="15">
        <v>0</v>
      </c>
      <c r="F1227">
        <f t="shared" si="88"/>
        <v>3.5789346271246532E-3</v>
      </c>
      <c r="G1227">
        <f t="shared" si="86"/>
        <v>0</v>
      </c>
      <c r="H1227" t="e">
        <f t="shared" si="87"/>
        <v>#NUM!</v>
      </c>
    </row>
    <row r="1228" spans="1:8" x14ac:dyDescent="0.2">
      <c r="A1228" s="1">
        <v>41957</v>
      </c>
      <c r="B1228">
        <v>542.91188139999997</v>
      </c>
      <c r="C1228" s="2">
        <f t="shared" si="85"/>
        <v>-1.7969847982769588E-3</v>
      </c>
      <c r="D1228">
        <v>-0.49040157988533006</v>
      </c>
      <c r="E1228" s="15">
        <v>1</v>
      </c>
      <c r="F1228">
        <f t="shared" si="88"/>
        <v>3.2755078115701808E-3</v>
      </c>
      <c r="G1228">
        <f t="shared" si="86"/>
        <v>305.29617315143258</v>
      </c>
      <c r="H1228">
        <f t="shared" si="87"/>
        <v>-4.9694427211288623</v>
      </c>
    </row>
    <row r="1229" spans="1:8" x14ac:dyDescent="0.2">
      <c r="A1229" s="1">
        <v>41960</v>
      </c>
      <c r="B1229">
        <v>535.04343719999997</v>
      </c>
      <c r="C1229" s="2">
        <f t="shared" si="85"/>
        <v>-1.4493041080091565E-2</v>
      </c>
      <c r="D1229">
        <v>7.0651996021269827</v>
      </c>
      <c r="E1229" s="15">
        <v>0</v>
      </c>
      <c r="F1229">
        <f t="shared" si="88"/>
        <v>12101.557276286338</v>
      </c>
      <c r="G1229">
        <f t="shared" si="86"/>
        <v>0</v>
      </c>
      <c r="H1229" t="e">
        <f t="shared" si="87"/>
        <v>#NUM!</v>
      </c>
    </row>
    <row r="1230" spans="1:8" x14ac:dyDescent="0.2">
      <c r="A1230" s="1">
        <v>41961</v>
      </c>
      <c r="B1230">
        <v>533.56753930000002</v>
      </c>
      <c r="C1230" s="2">
        <f t="shared" si="85"/>
        <v>-2.7584637010476167E-3</v>
      </c>
      <c r="D1230">
        <v>-0.80966977973747734</v>
      </c>
      <c r="E1230" s="15">
        <v>0</v>
      </c>
      <c r="F1230">
        <f t="shared" si="88"/>
        <v>1036.7717491620131</v>
      </c>
      <c r="G1230">
        <f t="shared" si="86"/>
        <v>0</v>
      </c>
      <c r="H1230" t="e">
        <f t="shared" si="87"/>
        <v>#NUM!</v>
      </c>
    </row>
    <row r="1231" spans="1:8" x14ac:dyDescent="0.2">
      <c r="A1231" s="1">
        <v>41962</v>
      </c>
      <c r="B1231">
        <v>535.52213900000004</v>
      </c>
      <c r="C1231" s="2">
        <f t="shared" si="85"/>
        <v>3.6632657649382176E-3</v>
      </c>
      <c r="D1231">
        <v>-2.3280094146415529</v>
      </c>
      <c r="E1231" s="15">
        <v>0</v>
      </c>
      <c r="F1231">
        <f t="shared" si="88"/>
        <v>88.825635037987723</v>
      </c>
      <c r="G1231">
        <f t="shared" si="86"/>
        <v>0</v>
      </c>
      <c r="H1231" t="e">
        <f t="shared" si="87"/>
        <v>#NUM!</v>
      </c>
    </row>
    <row r="1232" spans="1:8" x14ac:dyDescent="0.2">
      <c r="A1232" s="1">
        <v>41963</v>
      </c>
      <c r="B1232">
        <v>533.36807590000001</v>
      </c>
      <c r="C1232" s="2">
        <f t="shared" si="85"/>
        <v>-4.0223605022611962E-3</v>
      </c>
      <c r="D1232">
        <v>-2.0980258491644093</v>
      </c>
      <c r="E1232" s="15">
        <v>0</v>
      </c>
      <c r="F1232">
        <f t="shared" si="88"/>
        <v>7.6128692704092948</v>
      </c>
      <c r="G1232">
        <f t="shared" si="86"/>
        <v>0</v>
      </c>
      <c r="H1232" t="e">
        <f t="shared" si="87"/>
        <v>#NUM!</v>
      </c>
    </row>
    <row r="1233" spans="1:8" x14ac:dyDescent="0.2">
      <c r="A1233" s="1">
        <v>41964</v>
      </c>
      <c r="B1233">
        <v>536.03074660000004</v>
      </c>
      <c r="C1233" s="2">
        <f t="shared" si="85"/>
        <v>4.992182360196701E-3</v>
      </c>
      <c r="D1233">
        <v>-2.2411076424876173</v>
      </c>
      <c r="E1233" s="15">
        <v>0</v>
      </c>
      <c r="F1233">
        <f t="shared" si="88"/>
        <v>0.65518124853864568</v>
      </c>
      <c r="G1233">
        <f t="shared" si="86"/>
        <v>0</v>
      </c>
      <c r="H1233" t="e">
        <f t="shared" si="87"/>
        <v>#NUM!</v>
      </c>
    </row>
    <row r="1234" spans="1:8" x14ac:dyDescent="0.2">
      <c r="A1234" s="1">
        <v>41967</v>
      </c>
      <c r="B1234">
        <v>537.79595219999999</v>
      </c>
      <c r="C1234" s="2">
        <f t="shared" si="85"/>
        <v>3.2931051272646244E-3</v>
      </c>
      <c r="D1234">
        <v>-0.34034758955903405</v>
      </c>
      <c r="E1234" s="15">
        <v>1</v>
      </c>
      <c r="F1234">
        <f t="shared" si="88"/>
        <v>5.9099805527278566E-2</v>
      </c>
      <c r="G1234">
        <f t="shared" si="86"/>
        <v>16.920529451462109</v>
      </c>
      <c r="H1234">
        <f t="shared" si="87"/>
        <v>-2.4568400959566055</v>
      </c>
    </row>
    <row r="1235" spans="1:8" x14ac:dyDescent="0.2">
      <c r="A1235" s="1">
        <v>41968</v>
      </c>
      <c r="B1235">
        <v>539.60095360000003</v>
      </c>
      <c r="C1235" s="2">
        <f t="shared" si="85"/>
        <v>3.3562941346363621E-3</v>
      </c>
      <c r="D1235">
        <v>1.9188275177909327E-2</v>
      </c>
      <c r="E1235" s="15">
        <v>0</v>
      </c>
      <c r="F1235">
        <f t="shared" si="88"/>
        <v>37.180921499106873</v>
      </c>
      <c r="G1235">
        <f t="shared" si="86"/>
        <v>0</v>
      </c>
      <c r="H1235" t="e">
        <f t="shared" si="87"/>
        <v>#NUM!</v>
      </c>
    </row>
    <row r="1236" spans="1:8" x14ac:dyDescent="0.2">
      <c r="A1236" s="1">
        <v>41969</v>
      </c>
      <c r="B1236">
        <v>538.89294240000004</v>
      </c>
      <c r="C1236" s="2">
        <f t="shared" si="85"/>
        <v>-1.3121014617865701E-3</v>
      </c>
      <c r="D1236">
        <v>-1.3909375665993975</v>
      </c>
      <c r="E1236" s="15">
        <v>0</v>
      </c>
      <c r="F1236">
        <f t="shared" si="88"/>
        <v>3.1883455962523652</v>
      </c>
      <c r="G1236">
        <f t="shared" si="86"/>
        <v>0</v>
      </c>
      <c r="H1236" t="e">
        <f t="shared" si="87"/>
        <v>#NUM!</v>
      </c>
    </row>
    <row r="1237" spans="1:8" x14ac:dyDescent="0.2">
      <c r="A1237" s="1">
        <v>41971</v>
      </c>
      <c r="B1237">
        <v>540.34894299999996</v>
      </c>
      <c r="C1237" s="2">
        <f t="shared" si="85"/>
        <v>2.7018364603468683E-3</v>
      </c>
      <c r="D1237">
        <v>-3.059167327401664</v>
      </c>
      <c r="E1237" s="15">
        <v>0</v>
      </c>
      <c r="F1237">
        <f t="shared" si="88"/>
        <v>0.27612193342719699</v>
      </c>
      <c r="G1237">
        <f t="shared" si="86"/>
        <v>0</v>
      </c>
      <c r="H1237" t="e">
        <f t="shared" si="87"/>
        <v>#NUM!</v>
      </c>
    </row>
    <row r="1238" spans="1:8" x14ac:dyDescent="0.2">
      <c r="A1238" s="1">
        <v>41974</v>
      </c>
      <c r="B1238">
        <v>532.34084919999998</v>
      </c>
      <c r="C1238" s="2">
        <f t="shared" si="85"/>
        <v>-1.4820226640102789E-2</v>
      </c>
      <c r="D1238">
        <v>-6.4852419299279616</v>
      </c>
      <c r="E1238" s="15">
        <v>0</v>
      </c>
      <c r="F1238">
        <f t="shared" si="88"/>
        <v>2.6624905412716702E-2</v>
      </c>
      <c r="G1238">
        <f t="shared" si="86"/>
        <v>0</v>
      </c>
      <c r="H1238" t="e">
        <f t="shared" si="87"/>
        <v>#NUM!</v>
      </c>
    </row>
    <row r="1239" spans="1:8" x14ac:dyDescent="0.2">
      <c r="A1239" s="1">
        <v>41975</v>
      </c>
      <c r="B1239">
        <v>532.29098409999995</v>
      </c>
      <c r="C1239" s="2">
        <f t="shared" si="85"/>
        <v>-9.3671376290154585E-5</v>
      </c>
      <c r="D1239">
        <v>-0.99367949097102981</v>
      </c>
      <c r="E1239" s="15">
        <v>1</v>
      </c>
      <c r="F1239">
        <f t="shared" si="88"/>
        <v>5.2499101530221193E-3</v>
      </c>
      <c r="G1239">
        <f t="shared" si="86"/>
        <v>190.47945028627746</v>
      </c>
      <c r="H1239">
        <f t="shared" si="87"/>
        <v>-4.5596962588546219</v>
      </c>
    </row>
    <row r="1240" spans="1:8" x14ac:dyDescent="0.2">
      <c r="A1240" s="1">
        <v>41976</v>
      </c>
      <c r="B1240">
        <v>529.86763240000005</v>
      </c>
      <c r="C1240" s="2">
        <f t="shared" si="85"/>
        <v>-4.5526822215433771E-3</v>
      </c>
      <c r="D1240">
        <v>47.602704495779797</v>
      </c>
      <c r="E1240" s="15">
        <v>0</v>
      </c>
      <c r="F1240">
        <f t="shared" si="88"/>
        <v>4710.8035784156373</v>
      </c>
      <c r="G1240">
        <f t="shared" si="86"/>
        <v>0</v>
      </c>
      <c r="H1240" t="e">
        <f t="shared" si="87"/>
        <v>#NUM!</v>
      </c>
    </row>
    <row r="1241" spans="1:8" x14ac:dyDescent="0.2">
      <c r="A1241" s="1">
        <v>41977</v>
      </c>
      <c r="B1241">
        <v>535.84129270000005</v>
      </c>
      <c r="C1241" s="2">
        <f t="shared" si="85"/>
        <v>1.127387282167569E-2</v>
      </c>
      <c r="D1241">
        <v>-3.4763144610286028</v>
      </c>
      <c r="E1241" s="15">
        <v>0</v>
      </c>
      <c r="F1241">
        <f t="shared" si="88"/>
        <v>403.58855449731436</v>
      </c>
      <c r="G1241">
        <f t="shared" si="86"/>
        <v>0</v>
      </c>
      <c r="H1241" t="e">
        <f t="shared" si="87"/>
        <v>#NUM!</v>
      </c>
    </row>
    <row r="1242" spans="1:8" x14ac:dyDescent="0.2">
      <c r="A1242" s="1">
        <v>41978</v>
      </c>
      <c r="B1242">
        <v>523.82420960000002</v>
      </c>
      <c r="C1242" s="2">
        <f t="shared" si="85"/>
        <v>-2.2426571568324442E-2</v>
      </c>
      <c r="D1242">
        <v>-2.9892517791407083</v>
      </c>
      <c r="E1242" s="15">
        <v>0</v>
      </c>
      <c r="F1242">
        <f t="shared" si="88"/>
        <v>34.579346446162468</v>
      </c>
      <c r="G1242">
        <f t="shared" si="86"/>
        <v>0</v>
      </c>
      <c r="H1242" t="e">
        <f t="shared" si="87"/>
        <v>#NUM!</v>
      </c>
    </row>
    <row r="1243" spans="1:8" x14ac:dyDescent="0.2">
      <c r="A1243" s="1">
        <v>41981</v>
      </c>
      <c r="B1243">
        <v>525.53948830000002</v>
      </c>
      <c r="C1243" s="2">
        <f t="shared" si="85"/>
        <v>3.2745311663044578E-3</v>
      </c>
      <c r="D1243">
        <v>-1.1460112240664304</v>
      </c>
      <c r="E1243" s="15">
        <v>1</v>
      </c>
      <c r="F1243">
        <f t="shared" si="88"/>
        <v>2.9654625628672986</v>
      </c>
      <c r="G1243">
        <f t="shared" si="86"/>
        <v>0.33721551994003335</v>
      </c>
      <c r="H1243">
        <f t="shared" si="87"/>
        <v>-76.389692018168162</v>
      </c>
    </row>
    <row r="1244" spans="1:8" x14ac:dyDescent="0.2">
      <c r="A1244" s="1">
        <v>41982</v>
      </c>
      <c r="B1244">
        <v>531.91207540000005</v>
      </c>
      <c r="C1244" s="2">
        <f t="shared" si="85"/>
        <v>1.2125800709312812E-2</v>
      </c>
      <c r="D1244">
        <v>2.7030646811640042</v>
      </c>
      <c r="E1244" s="15">
        <v>0</v>
      </c>
      <c r="F1244">
        <f t="shared" si="88"/>
        <v>0.2717913442681279</v>
      </c>
      <c r="G1244">
        <f t="shared" si="86"/>
        <v>0</v>
      </c>
      <c r="H1244" t="e">
        <f t="shared" si="87"/>
        <v>#NUM!</v>
      </c>
    </row>
    <row r="1245" spans="1:8" x14ac:dyDescent="0.2">
      <c r="A1245" s="1">
        <v>41983</v>
      </c>
      <c r="B1245">
        <v>524.62200329999996</v>
      </c>
      <c r="C1245" s="2">
        <f t="shared" si="85"/>
        <v>-1.3705408162651552E-2</v>
      </c>
      <c r="D1245">
        <v>-2.130268300725541</v>
      </c>
      <c r="E1245" s="15">
        <v>0</v>
      </c>
      <c r="F1245">
        <f t="shared" si="88"/>
        <v>2.6253893687713654E-2</v>
      </c>
      <c r="G1245">
        <f t="shared" si="86"/>
        <v>0</v>
      </c>
      <c r="H1245" t="e">
        <f t="shared" si="87"/>
        <v>#NUM!</v>
      </c>
    </row>
    <row r="1246" spans="1:8" x14ac:dyDescent="0.2">
      <c r="A1246" s="1">
        <v>41984</v>
      </c>
      <c r="B1246">
        <v>526.89581750000002</v>
      </c>
      <c r="C1246" s="2">
        <f t="shared" si="85"/>
        <v>4.3341952600104774E-3</v>
      </c>
      <c r="D1246">
        <v>-1.3162397798426422</v>
      </c>
      <c r="E1246" s="15">
        <v>0</v>
      </c>
      <c r="F1246">
        <f t="shared" si="88"/>
        <v>5.2181247088172655E-3</v>
      </c>
      <c r="G1246">
        <f t="shared" si="86"/>
        <v>0</v>
      </c>
      <c r="H1246" t="e">
        <f t="shared" si="87"/>
        <v>#NUM!</v>
      </c>
    </row>
    <row r="1247" spans="1:8" x14ac:dyDescent="0.2">
      <c r="A1247" s="1">
        <v>41985</v>
      </c>
      <c r="B1247">
        <v>517.24227029999997</v>
      </c>
      <c r="C1247" s="2">
        <f t="shared" si="85"/>
        <v>-1.8321548358087029E-2</v>
      </c>
      <c r="D1247">
        <v>-5.2272088032422284</v>
      </c>
      <c r="E1247" s="15">
        <v>0</v>
      </c>
      <c r="F1247">
        <f t="shared" si="88"/>
        <v>3.415941068450036E-3</v>
      </c>
      <c r="G1247">
        <f t="shared" si="86"/>
        <v>0</v>
      </c>
      <c r="H1247" t="e">
        <f t="shared" si="87"/>
        <v>#NUM!</v>
      </c>
    </row>
    <row r="1248" spans="1:8" x14ac:dyDescent="0.2">
      <c r="A1248" s="1">
        <v>41988</v>
      </c>
      <c r="B1248">
        <v>512.39556900000002</v>
      </c>
      <c r="C1248" s="2">
        <f t="shared" si="85"/>
        <v>-9.3702730389549713E-3</v>
      </c>
      <c r="D1248">
        <v>-0.48856543913118644</v>
      </c>
      <c r="E1248" s="15">
        <v>1</v>
      </c>
      <c r="F1248">
        <f t="shared" si="88"/>
        <v>3.2615437713098359E-3</v>
      </c>
      <c r="G1248">
        <f t="shared" si="86"/>
        <v>306.6032744360196</v>
      </c>
      <c r="H1248">
        <f t="shared" si="87"/>
        <v>-4.9731535774832123</v>
      </c>
    </row>
    <row r="1249" spans="1:8" x14ac:dyDescent="0.2">
      <c r="A1249" s="1">
        <v>41989</v>
      </c>
      <c r="B1249">
        <v>494.0358665</v>
      </c>
      <c r="C1249" s="2">
        <f t="shared" si="85"/>
        <v>-3.5831110982928946E-2</v>
      </c>
      <c r="D1249">
        <v>2.8239132236561852</v>
      </c>
      <c r="E1249" s="15">
        <v>0</v>
      </c>
      <c r="F1249">
        <f t="shared" si="88"/>
        <v>12205.402785581005</v>
      </c>
      <c r="G1249">
        <f t="shared" si="86"/>
        <v>0</v>
      </c>
      <c r="H1249" t="e">
        <f t="shared" si="87"/>
        <v>#NUM!</v>
      </c>
    </row>
    <row r="1250" spans="1:8" x14ac:dyDescent="0.2">
      <c r="A1250" s="1">
        <v>41990</v>
      </c>
      <c r="B1250">
        <v>503.50990849999999</v>
      </c>
      <c r="C1250" s="2">
        <f t="shared" si="85"/>
        <v>1.917683035266023E-2</v>
      </c>
      <c r="D1250">
        <v>-1.5352005513252622</v>
      </c>
      <c r="E1250" s="15">
        <v>0</v>
      </c>
      <c r="F1250">
        <f t="shared" si="88"/>
        <v>1045.6684373774144</v>
      </c>
      <c r="G1250">
        <f t="shared" si="86"/>
        <v>0</v>
      </c>
      <c r="H1250" t="e">
        <f t="shared" si="87"/>
        <v>#NUM!</v>
      </c>
    </row>
    <row r="1251" spans="1:8" x14ac:dyDescent="0.2">
      <c r="A1251" s="1">
        <v>41991</v>
      </c>
      <c r="B1251">
        <v>509.7029296</v>
      </c>
      <c r="C1251" s="2">
        <f t="shared" si="85"/>
        <v>1.2299700552963418E-2</v>
      </c>
      <c r="D1251">
        <v>-0.35861660520675193</v>
      </c>
      <c r="E1251" s="15">
        <v>0</v>
      </c>
      <c r="F1251">
        <f t="shared" si="88"/>
        <v>89.587835172973485</v>
      </c>
      <c r="G1251">
        <f t="shared" si="86"/>
        <v>0</v>
      </c>
      <c r="H1251" t="e">
        <f t="shared" si="87"/>
        <v>#NUM!</v>
      </c>
    </row>
    <row r="1252" spans="1:8" x14ac:dyDescent="0.2">
      <c r="A1252" s="1">
        <v>41992</v>
      </c>
      <c r="B1252">
        <v>514.93854920000001</v>
      </c>
      <c r="C1252" s="2">
        <f t="shared" si="85"/>
        <v>1.027190407578934E-2</v>
      </c>
      <c r="D1252">
        <v>-0.16486551590766269</v>
      </c>
      <c r="E1252" s="15">
        <v>1</v>
      </c>
      <c r="F1252">
        <f t="shared" si="88"/>
        <v>7.6781687427192962</v>
      </c>
      <c r="G1252">
        <f t="shared" si="86"/>
        <v>0.13023938825885201</v>
      </c>
      <c r="H1252">
        <f t="shared" si="87"/>
        <v>-3473.8360539660675</v>
      </c>
    </row>
    <row r="1253" spans="1:8" x14ac:dyDescent="0.2">
      <c r="A1253" s="1">
        <v>41995</v>
      </c>
      <c r="B1253">
        <v>523.43529139999998</v>
      </c>
      <c r="C1253" s="2">
        <f t="shared" si="85"/>
        <v>1.6500497415080632E-2</v>
      </c>
      <c r="D1253">
        <v>0.60637183654897586</v>
      </c>
      <c r="E1253" s="15">
        <v>0</v>
      </c>
      <c r="F1253">
        <f t="shared" si="88"/>
        <v>0.66297794107527441</v>
      </c>
      <c r="G1253">
        <f t="shared" si="86"/>
        <v>0</v>
      </c>
      <c r="H1253" t="e">
        <f t="shared" si="87"/>
        <v>#NUM!</v>
      </c>
    </row>
    <row r="1254" spans="1:8" x14ac:dyDescent="0.2">
      <c r="A1254" s="1">
        <v>41996</v>
      </c>
      <c r="B1254">
        <v>529.13966310000001</v>
      </c>
      <c r="C1254" s="2">
        <f t="shared" si="85"/>
        <v>1.0897950126257048E-2</v>
      </c>
      <c r="D1254">
        <v>-0.33953808469453384</v>
      </c>
      <c r="E1254" s="15">
        <v>0</v>
      </c>
      <c r="F1254">
        <f t="shared" si="88"/>
        <v>5.9767766453859478E-2</v>
      </c>
      <c r="G1254">
        <f t="shared" si="86"/>
        <v>0</v>
      </c>
      <c r="H1254" t="e">
        <f t="shared" si="87"/>
        <v>#NUM!</v>
      </c>
    </row>
    <row r="1255" spans="1:8" x14ac:dyDescent="0.2">
      <c r="A1255" s="1">
        <v>41997</v>
      </c>
      <c r="B1255">
        <v>527.32465219999995</v>
      </c>
      <c r="C1255" s="2">
        <f t="shared" si="85"/>
        <v>-3.4301168983755606E-3</v>
      </c>
      <c r="D1255">
        <v>-1.3147488159366032</v>
      </c>
      <c r="E1255" s="15">
        <v>0</v>
      </c>
      <c r="F1255">
        <f t="shared" si="88"/>
        <v>8.0893367517470855E-3</v>
      </c>
      <c r="G1255">
        <f t="shared" si="86"/>
        <v>0</v>
      </c>
      <c r="H1255" t="e">
        <f t="shared" si="87"/>
        <v>#NUM!</v>
      </c>
    </row>
    <row r="1256" spans="1:8" x14ac:dyDescent="0.2">
      <c r="A1256" s="1">
        <v>41999</v>
      </c>
      <c r="B1256">
        <v>532.5702205</v>
      </c>
      <c r="C1256" s="2">
        <f t="shared" si="85"/>
        <v>9.9475119892755495E-3</v>
      </c>
      <c r="D1256">
        <v>-3.9000504309303587</v>
      </c>
      <c r="E1256" s="15">
        <v>0</v>
      </c>
      <c r="F1256">
        <f t="shared" si="88"/>
        <v>3.6619245348488462E-3</v>
      </c>
      <c r="G1256">
        <f t="shared" si="86"/>
        <v>0</v>
      </c>
      <c r="H1256" t="e">
        <f t="shared" si="87"/>
        <v>#NUM!</v>
      </c>
    </row>
    <row r="1257" spans="1:8" x14ac:dyDescent="0.2">
      <c r="A1257" s="1">
        <v>42002</v>
      </c>
      <c r="B1257">
        <v>528.88038489999997</v>
      </c>
      <c r="C1257" s="2">
        <f t="shared" si="85"/>
        <v>-6.9283550937862433E-3</v>
      </c>
      <c r="D1257">
        <v>-1.6964912534165055</v>
      </c>
      <c r="E1257" s="15">
        <v>0</v>
      </c>
      <c r="F1257">
        <f t="shared" si="88"/>
        <v>3.2826177515094422E-3</v>
      </c>
      <c r="G1257">
        <f t="shared" si="86"/>
        <v>0</v>
      </c>
      <c r="H1257" t="e">
        <f t="shared" si="87"/>
        <v>#NUM!</v>
      </c>
    </row>
    <row r="1258" spans="1:8" x14ac:dyDescent="0.2">
      <c r="A1258" s="1">
        <v>42003</v>
      </c>
      <c r="B1258">
        <v>528.97010660000001</v>
      </c>
      <c r="C1258" s="2">
        <f t="shared" si="85"/>
        <v>1.6964459745846965E-4</v>
      </c>
      <c r="D1258">
        <v>-1.0244855517885647</v>
      </c>
      <c r="E1258" s="15">
        <v>0</v>
      </c>
      <c r="F1258">
        <f t="shared" si="88"/>
        <v>3.2501216502116774E-3</v>
      </c>
      <c r="G1258">
        <f t="shared" si="86"/>
        <v>0</v>
      </c>
      <c r="H1258" t="e">
        <f t="shared" si="87"/>
        <v>#NUM!</v>
      </c>
    </row>
    <row r="1259" spans="1:8" x14ac:dyDescent="0.2">
      <c r="A1259" s="1">
        <v>42004</v>
      </c>
      <c r="B1259">
        <v>524.96111629999996</v>
      </c>
      <c r="C1259" s="2">
        <f t="shared" si="85"/>
        <v>-7.5788598447805939E-3</v>
      </c>
      <c r="D1259">
        <v>-45.674926041402287</v>
      </c>
      <c r="E1259" s="15">
        <v>0</v>
      </c>
      <c r="F1259">
        <f t="shared" si="88"/>
        <v>3.2473376330362986E-3</v>
      </c>
      <c r="G1259">
        <f t="shared" si="86"/>
        <v>0</v>
      </c>
      <c r="H1259" t="e">
        <f t="shared" si="87"/>
        <v>#NUM!</v>
      </c>
    </row>
    <row r="1260" spans="1:8" x14ac:dyDescent="0.2">
      <c r="A1260" s="1">
        <v>42006</v>
      </c>
      <c r="B1260">
        <v>523.37547659999996</v>
      </c>
      <c r="C1260" s="2">
        <f t="shared" si="85"/>
        <v>-3.0204898053703749E-3</v>
      </c>
      <c r="D1260">
        <v>-0.60145854822074263</v>
      </c>
      <c r="E1260" s="15">
        <v>1</v>
      </c>
      <c r="F1260">
        <f t="shared" si="88"/>
        <v>3.2470991197586048E-3</v>
      </c>
      <c r="G1260">
        <f t="shared" si="86"/>
        <v>307.96719259815569</v>
      </c>
      <c r="H1260">
        <f t="shared" si="87"/>
        <v>-4.9770089082258542</v>
      </c>
    </row>
    <row r="1261" spans="1:8" x14ac:dyDescent="0.2">
      <c r="A1261" s="1">
        <v>42009</v>
      </c>
      <c r="B1261">
        <v>512.46533239999997</v>
      </c>
      <c r="C1261" s="2">
        <f t="shared" si="85"/>
        <v>-2.0845730623214286E-2</v>
      </c>
      <c r="D1261">
        <v>5.9014404836430714</v>
      </c>
      <c r="E1261" s="15">
        <v>1</v>
      </c>
      <c r="F1261">
        <f t="shared" si="88"/>
        <v>12314.235238389054</v>
      </c>
      <c r="G1261">
        <f t="shared" si="86"/>
        <v>8.1206829384138009E-5</v>
      </c>
      <c r="H1261">
        <f t="shared" si="87"/>
        <v>-2.299480772964746E+16</v>
      </c>
    </row>
    <row r="1262" spans="1:8" x14ac:dyDescent="0.2">
      <c r="A1262" s="1">
        <v>42010</v>
      </c>
      <c r="B1262">
        <v>500.58789789999997</v>
      </c>
      <c r="C1262" s="2">
        <f t="shared" si="85"/>
        <v>-2.3177049741833412E-2</v>
      </c>
      <c r="D1262">
        <v>0.11183676699836638</v>
      </c>
      <c r="E1262" s="15">
        <v>0</v>
      </c>
      <c r="F1262">
        <f t="shared" si="88"/>
        <v>1054.9923687348314</v>
      </c>
      <c r="G1262">
        <f t="shared" si="86"/>
        <v>0</v>
      </c>
      <c r="H1262" t="e">
        <f t="shared" si="87"/>
        <v>#NUM!</v>
      </c>
    </row>
    <row r="1263" spans="1:8" x14ac:dyDescent="0.2">
      <c r="A1263" s="1">
        <v>42011</v>
      </c>
      <c r="B1263">
        <v>499.73025860000001</v>
      </c>
      <c r="C1263" s="2">
        <f t="shared" si="85"/>
        <v>-1.7132641512066405E-3</v>
      </c>
      <c r="D1263">
        <v>-0.92607928229474845</v>
      </c>
      <c r="E1263" s="15">
        <v>0</v>
      </c>
      <c r="F1263">
        <f t="shared" si="88"/>
        <v>90.386638229476986</v>
      </c>
      <c r="G1263">
        <f t="shared" si="86"/>
        <v>0</v>
      </c>
      <c r="H1263" t="e">
        <f t="shared" si="87"/>
        <v>#NUM!</v>
      </c>
    </row>
    <row r="1264" spans="1:8" x14ac:dyDescent="0.2">
      <c r="A1264" s="1">
        <v>42012</v>
      </c>
      <c r="B1264">
        <v>501.3059495</v>
      </c>
      <c r="C1264" s="2">
        <f t="shared" si="85"/>
        <v>3.1530828339558616E-3</v>
      </c>
      <c r="D1264">
        <v>-2.8403950329172338</v>
      </c>
      <c r="E1264" s="15">
        <v>0</v>
      </c>
      <c r="F1264">
        <f t="shared" si="88"/>
        <v>7.7466040731201087</v>
      </c>
      <c r="G1264">
        <f t="shared" si="86"/>
        <v>0</v>
      </c>
      <c r="H1264" t="e">
        <f t="shared" si="87"/>
        <v>#NUM!</v>
      </c>
    </row>
    <row r="1265" spans="1:8" x14ac:dyDescent="0.2">
      <c r="A1265" s="1">
        <v>42013</v>
      </c>
      <c r="B1265">
        <v>494.81373289999999</v>
      </c>
      <c r="C1265" s="2">
        <f t="shared" si="85"/>
        <v>-1.2950607521166085E-2</v>
      </c>
      <c r="D1265">
        <v>-5.1072842684942206</v>
      </c>
      <c r="E1265" s="15">
        <v>0</v>
      </c>
      <c r="F1265">
        <f t="shared" si="88"/>
        <v>0.66663862258734152</v>
      </c>
      <c r="G1265">
        <f t="shared" si="86"/>
        <v>0</v>
      </c>
      <c r="H1265" t="e">
        <f t="shared" si="87"/>
        <v>#NUM!</v>
      </c>
    </row>
    <row r="1266" spans="1:8" x14ac:dyDescent="0.2">
      <c r="A1266" s="1">
        <v>42016</v>
      </c>
      <c r="B1266">
        <v>491.20363939999999</v>
      </c>
      <c r="C1266" s="2">
        <f t="shared" si="85"/>
        <v>-7.2958635946540947E-3</v>
      </c>
      <c r="D1266">
        <v>-0.4366392786801736</v>
      </c>
      <c r="E1266" s="15">
        <v>0</v>
      </c>
      <c r="F1266">
        <f t="shared" si="88"/>
        <v>6.0081385620349689E-2</v>
      </c>
      <c r="G1266">
        <f t="shared" si="86"/>
        <v>0</v>
      </c>
      <c r="H1266" t="e">
        <f t="shared" si="87"/>
        <v>#NUM!</v>
      </c>
    </row>
    <row r="1267" spans="1:8" x14ac:dyDescent="0.2">
      <c r="A1267" s="1">
        <v>42017</v>
      </c>
      <c r="B1267">
        <v>494.8237125</v>
      </c>
      <c r="C1267" s="2">
        <f t="shared" si="85"/>
        <v>7.3698010552647655E-3</v>
      </c>
      <c r="D1267">
        <v>-2.0101341615905275</v>
      </c>
      <c r="E1267" s="15">
        <v>1</v>
      </c>
      <c r="F1267">
        <f t="shared" si="88"/>
        <v>8.1162052409247936E-3</v>
      </c>
      <c r="G1267">
        <f t="shared" si="86"/>
        <v>123.21028982333324</v>
      </c>
      <c r="H1267">
        <f t="shared" si="87"/>
        <v>-4.1812939626402459</v>
      </c>
    </row>
    <row r="1268" spans="1:8" x14ac:dyDescent="0.2">
      <c r="A1268" s="1">
        <v>42018</v>
      </c>
      <c r="B1268">
        <v>499.50088729999999</v>
      </c>
      <c r="C1268" s="2">
        <f t="shared" si="85"/>
        <v>9.4522042534491285E-3</v>
      </c>
      <c r="D1268">
        <v>0.28255894325624387</v>
      </c>
      <c r="E1268" s="15">
        <v>0</v>
      </c>
      <c r="F1268">
        <f t="shared" si="88"/>
        <v>1971.0297921060333</v>
      </c>
      <c r="G1268">
        <f t="shared" si="86"/>
        <v>0</v>
      </c>
      <c r="H1268" t="e">
        <f t="shared" si="87"/>
        <v>#NUM!</v>
      </c>
    </row>
    <row r="1269" spans="1:8" x14ac:dyDescent="0.2">
      <c r="A1269" s="1">
        <v>42019</v>
      </c>
      <c r="B1269">
        <v>500.41837240000001</v>
      </c>
      <c r="C1269" s="2">
        <f t="shared" si="85"/>
        <v>1.8368037441522714E-3</v>
      </c>
      <c r="D1269">
        <v>-0.80567456067382193</v>
      </c>
      <c r="E1269" s="15">
        <v>1</v>
      </c>
      <c r="F1269">
        <f t="shared" si="88"/>
        <v>168.86571166006664</v>
      </c>
      <c r="G1269">
        <f t="shared" si="86"/>
        <v>5.9218653104251241E-3</v>
      </c>
      <c r="H1269">
        <f t="shared" si="87"/>
        <v>-813141068.54152048</v>
      </c>
    </row>
    <row r="1270" spans="1:8" x14ac:dyDescent="0.2">
      <c r="A1270" s="1">
        <v>42020</v>
      </c>
      <c r="B1270">
        <v>506.69116739999998</v>
      </c>
      <c r="C1270" s="2">
        <f t="shared" si="85"/>
        <v>1.2535101319153672E-2</v>
      </c>
      <c r="D1270">
        <v>5.8244097166400977</v>
      </c>
      <c r="E1270" s="15">
        <v>0</v>
      </c>
      <c r="F1270">
        <f t="shared" si="88"/>
        <v>14.470094817359788</v>
      </c>
      <c r="G1270">
        <f t="shared" si="86"/>
        <v>0</v>
      </c>
      <c r="H1270" t="e">
        <f t="shared" si="87"/>
        <v>#NUM!</v>
      </c>
    </row>
    <row r="1271" spans="1:8" x14ac:dyDescent="0.2">
      <c r="A1271" s="1">
        <v>42024</v>
      </c>
      <c r="B1271">
        <v>505.5144042</v>
      </c>
      <c r="C1271" s="2">
        <f t="shared" si="85"/>
        <v>-2.3224466414884307E-3</v>
      </c>
      <c r="D1271">
        <v>-1.1852754582796809</v>
      </c>
      <c r="E1271" s="15">
        <v>0</v>
      </c>
      <c r="F1271">
        <f t="shared" si="88"/>
        <v>1.2426558358199682</v>
      </c>
      <c r="G1271">
        <f t="shared" si="86"/>
        <v>0</v>
      </c>
      <c r="H1271" t="e">
        <f t="shared" si="87"/>
        <v>#NUM!</v>
      </c>
    </row>
    <row r="1272" spans="1:8" x14ac:dyDescent="0.2">
      <c r="A1272" s="1">
        <v>42025</v>
      </c>
      <c r="B1272">
        <v>516.62398189999999</v>
      </c>
      <c r="C1272" s="2">
        <f t="shared" si="85"/>
        <v>2.1976777729175515E-2</v>
      </c>
      <c r="D1272">
        <v>-10.462769708711516</v>
      </c>
      <c r="E1272" s="15">
        <v>1</v>
      </c>
      <c r="F1272">
        <f t="shared" si="88"/>
        <v>0.10943013057467954</v>
      </c>
      <c r="G1272">
        <f t="shared" si="86"/>
        <v>9.1382509985909195</v>
      </c>
      <c r="H1272">
        <f t="shared" si="87"/>
        <v>-1.921869564644614</v>
      </c>
    </row>
    <row r="1273" spans="1:8" x14ac:dyDescent="0.2">
      <c r="A1273" s="1">
        <v>42026</v>
      </c>
      <c r="B1273">
        <v>532.92923080000003</v>
      </c>
      <c r="C1273" s="2">
        <f t="shared" si="85"/>
        <v>3.1561153704157997E-2</v>
      </c>
      <c r="D1273">
        <v>0.4361137967127291</v>
      </c>
      <c r="E1273" s="15">
        <v>0</v>
      </c>
      <c r="F1273">
        <f t="shared" si="88"/>
        <v>10.854723127495967</v>
      </c>
      <c r="G1273">
        <f t="shared" si="86"/>
        <v>0</v>
      </c>
      <c r="H1273" t="e">
        <f t="shared" si="87"/>
        <v>#NUM!</v>
      </c>
    </row>
    <row r="1274" spans="1:8" x14ac:dyDescent="0.2">
      <c r="A1274" s="1">
        <v>42027</v>
      </c>
      <c r="B1274">
        <v>538.47405649999996</v>
      </c>
      <c r="C1274" s="2">
        <f t="shared" si="85"/>
        <v>1.0404431544646908E-2</v>
      </c>
      <c r="D1274">
        <v>-0.670340582534656</v>
      </c>
      <c r="E1274" s="15">
        <v>0</v>
      </c>
      <c r="F1274">
        <f t="shared" si="88"/>
        <v>0.93291846801297351</v>
      </c>
      <c r="G1274">
        <f t="shared" si="86"/>
        <v>0</v>
      </c>
      <c r="H1274" t="e">
        <f t="shared" si="87"/>
        <v>#NUM!</v>
      </c>
    </row>
    <row r="1275" spans="1:8" x14ac:dyDescent="0.2">
      <c r="A1275" s="1">
        <v>42030</v>
      </c>
      <c r="B1275">
        <v>533.74704550000001</v>
      </c>
      <c r="C1275" s="2">
        <f t="shared" si="85"/>
        <v>-8.7785306328865779E-3</v>
      </c>
      <c r="D1275">
        <v>-1.8437299621047669</v>
      </c>
      <c r="E1275" s="15">
        <v>1</v>
      </c>
      <c r="F1275">
        <f t="shared" si="88"/>
        <v>8.2894204189854867E-2</v>
      </c>
      <c r="G1275">
        <f t="shared" si="86"/>
        <v>12.063569579722035</v>
      </c>
      <c r="H1275">
        <f t="shared" si="87"/>
        <v>-2.1629988837302943</v>
      </c>
    </row>
    <row r="1276" spans="1:8" x14ac:dyDescent="0.2">
      <c r="A1276" s="1">
        <v>42031</v>
      </c>
      <c r="B1276">
        <v>517.21236350000004</v>
      </c>
      <c r="C1276" s="2">
        <f t="shared" si="85"/>
        <v>-3.097849840931808E-2</v>
      </c>
      <c r="D1276">
        <v>2.5288933541183822</v>
      </c>
      <c r="E1276" s="15">
        <v>0</v>
      </c>
      <c r="F1276">
        <f t="shared" si="88"/>
        <v>18.905209581913351</v>
      </c>
      <c r="G1276">
        <f t="shared" si="86"/>
        <v>0</v>
      </c>
      <c r="H1276" t="e">
        <f t="shared" si="87"/>
        <v>#NUM!</v>
      </c>
    </row>
    <row r="1277" spans="1:8" x14ac:dyDescent="0.2">
      <c r="A1277" s="1">
        <v>42032</v>
      </c>
      <c r="B1277">
        <v>508.60594040000001</v>
      </c>
      <c r="C1277" s="2">
        <f t="shared" si="85"/>
        <v>-1.6640018118979145E-2</v>
      </c>
      <c r="D1277">
        <v>-0.46285265673258186</v>
      </c>
      <c r="E1277" s="15">
        <v>0</v>
      </c>
      <c r="F1277">
        <f t="shared" si="88"/>
        <v>1.622622514473278</v>
      </c>
      <c r="G1277">
        <f t="shared" si="86"/>
        <v>0</v>
      </c>
      <c r="H1277" t="e">
        <f t="shared" si="87"/>
        <v>#NUM!</v>
      </c>
    </row>
    <row r="1278" spans="1:8" x14ac:dyDescent="0.2">
      <c r="A1278" s="1">
        <v>42033</v>
      </c>
      <c r="B1278">
        <v>509.26411539999998</v>
      </c>
      <c r="C1278" s="2">
        <f t="shared" si="85"/>
        <v>1.2940765093745088E-3</v>
      </c>
      <c r="D1278">
        <v>-1.0777689363149503</v>
      </c>
      <c r="E1278" s="15">
        <v>1</v>
      </c>
      <c r="F1278">
        <f t="shared" si="88"/>
        <v>0.14198276665090975</v>
      </c>
      <c r="G1278">
        <f t="shared" si="86"/>
        <v>7.0431082841108488</v>
      </c>
      <c r="H1278">
        <f t="shared" si="87"/>
        <v>-1.6959351205446858</v>
      </c>
    </row>
    <row r="1279" spans="1:8" x14ac:dyDescent="0.2">
      <c r="A1279" s="1">
        <v>42034</v>
      </c>
      <c r="B1279">
        <v>533.05893170000002</v>
      </c>
      <c r="C1279" s="2">
        <f t="shared" si="85"/>
        <v>4.672392100768865E-2</v>
      </c>
      <c r="D1279">
        <v>35.105995796394318</v>
      </c>
      <c r="E1279" s="15">
        <v>0</v>
      </c>
      <c r="F1279">
        <f t="shared" si="88"/>
        <v>6.4557451427582864</v>
      </c>
      <c r="G1279">
        <f t="shared" si="86"/>
        <v>0</v>
      </c>
      <c r="H1279" t="e">
        <f t="shared" si="87"/>
        <v>#NUM!</v>
      </c>
    </row>
    <row r="1280" spans="1:8" x14ac:dyDescent="0.2">
      <c r="A1280" s="1">
        <v>42037</v>
      </c>
      <c r="B1280">
        <v>527.03540529999998</v>
      </c>
      <c r="C1280" s="2">
        <f t="shared" si="85"/>
        <v>-1.1299925846454093E-2</v>
      </c>
      <c r="D1280">
        <v>-1.2418445541972951</v>
      </c>
      <c r="E1280" s="15">
        <v>0</v>
      </c>
      <c r="F1280">
        <f t="shared" si="88"/>
        <v>0.55604771199815006</v>
      </c>
      <c r="G1280">
        <f t="shared" si="86"/>
        <v>0</v>
      </c>
      <c r="H1280" t="e">
        <f t="shared" si="87"/>
        <v>#NUM!</v>
      </c>
    </row>
    <row r="1281" spans="1:8" x14ac:dyDescent="0.2">
      <c r="A1281" s="1">
        <v>42038</v>
      </c>
      <c r="B1281">
        <v>527.79334340000003</v>
      </c>
      <c r="C1281" s="2">
        <f t="shared" si="85"/>
        <v>1.4381160969036072E-3</v>
      </c>
      <c r="D1281">
        <v>-1.1272677463945382</v>
      </c>
      <c r="E1281" s="15">
        <v>0</v>
      </c>
      <c r="F1281">
        <f t="shared" si="88"/>
        <v>5.0606803063510251E-2</v>
      </c>
      <c r="G1281">
        <f t="shared" si="86"/>
        <v>0</v>
      </c>
      <c r="H1281" t="e">
        <f t="shared" si="87"/>
        <v>#NUM!</v>
      </c>
    </row>
    <row r="1282" spans="1:8" x14ac:dyDescent="0.2">
      <c r="A1282" s="1">
        <v>42039</v>
      </c>
      <c r="B1282">
        <v>521.33103459999995</v>
      </c>
      <c r="C1282" s="2">
        <f t="shared" si="85"/>
        <v>-1.2244013458696594E-2</v>
      </c>
      <c r="D1282">
        <v>-9.5139256038222868</v>
      </c>
      <c r="E1282" s="15">
        <v>0</v>
      </c>
      <c r="F1282">
        <f t="shared" si="88"/>
        <v>7.3044955430109811E-3</v>
      </c>
      <c r="G1282">
        <f t="shared" si="86"/>
        <v>0</v>
      </c>
      <c r="H1282" t="e">
        <f t="shared" si="87"/>
        <v>#NUM!</v>
      </c>
    </row>
    <row r="1283" spans="1:8" x14ac:dyDescent="0.2">
      <c r="A1283" s="1">
        <v>42040</v>
      </c>
      <c r="B1283">
        <v>526.13787950000005</v>
      </c>
      <c r="C1283" s="2">
        <f t="shared" si="85"/>
        <v>9.2203313844306887E-3</v>
      </c>
      <c r="D1283">
        <v>-1.753048125562271</v>
      </c>
      <c r="E1283" s="15">
        <v>0</v>
      </c>
      <c r="F1283">
        <f t="shared" si="88"/>
        <v>3.5946853486755605E-3</v>
      </c>
      <c r="G1283">
        <f t="shared" si="86"/>
        <v>0</v>
      </c>
      <c r="H1283" t="e">
        <f t="shared" si="87"/>
        <v>#NUM!</v>
      </c>
    </row>
    <row r="1284" spans="1:8" x14ac:dyDescent="0.2">
      <c r="A1284" s="1">
        <v>42041</v>
      </c>
      <c r="B1284">
        <v>529.54853949999995</v>
      </c>
      <c r="C1284" s="2">
        <f t="shared" ref="C1284:C1347" si="89">(B1284-B1283)/B1283</f>
        <v>6.4824452541624939E-3</v>
      </c>
      <c r="D1284">
        <v>-0.29694010075292387</v>
      </c>
      <c r="E1284" s="15">
        <v>0</v>
      </c>
      <c r="F1284">
        <f t="shared" si="88"/>
        <v>3.2768572128082105E-3</v>
      </c>
      <c r="G1284">
        <f t="shared" si="86"/>
        <v>0</v>
      </c>
      <c r="H1284" t="e">
        <f t="shared" si="87"/>
        <v>#NUM!</v>
      </c>
    </row>
    <row r="1285" spans="1:8" x14ac:dyDescent="0.2">
      <c r="A1285" s="1">
        <v>42044</v>
      </c>
      <c r="B1285">
        <v>526.38720990000002</v>
      </c>
      <c r="C1285" s="2">
        <f t="shared" si="89"/>
        <v>-5.969858028472442E-3</v>
      </c>
      <c r="D1285">
        <v>-1.9209268716367622</v>
      </c>
      <c r="E1285" s="15">
        <v>0</v>
      </c>
      <c r="F1285">
        <f t="shared" si="88"/>
        <v>3.2496281313573166E-3</v>
      </c>
      <c r="G1285">
        <f t="shared" si="86"/>
        <v>0</v>
      </c>
      <c r="H1285" t="e">
        <f t="shared" si="87"/>
        <v>#NUM!</v>
      </c>
    </row>
    <row r="1286" spans="1:8" x14ac:dyDescent="0.2">
      <c r="A1286" s="1">
        <v>42045</v>
      </c>
      <c r="B1286">
        <v>535.47227290000001</v>
      </c>
      <c r="C1286" s="2">
        <f t="shared" si="89"/>
        <v>1.725927763656324E-2</v>
      </c>
      <c r="D1286">
        <v>-3.8910700311879136</v>
      </c>
      <c r="E1286" s="15">
        <v>0</v>
      </c>
      <c r="F1286">
        <f t="shared" si="88"/>
        <v>3.247295352119141E-3</v>
      </c>
      <c r="G1286">
        <f t="shared" si="86"/>
        <v>0</v>
      </c>
      <c r="H1286" t="e">
        <f t="shared" si="87"/>
        <v>#NUM!</v>
      </c>
    </row>
    <row r="1287" spans="1:8" x14ac:dyDescent="0.2">
      <c r="A1287" s="1">
        <v>42046</v>
      </c>
      <c r="B1287">
        <v>534.50492169999995</v>
      </c>
      <c r="C1287" s="2">
        <f t="shared" si="89"/>
        <v>-1.8065383568062106E-3</v>
      </c>
      <c r="D1287">
        <v>-1.1046705658746179</v>
      </c>
      <c r="E1287" s="15">
        <v>0</v>
      </c>
      <c r="F1287">
        <f t="shared" si="88"/>
        <v>3.247095497453317E-3</v>
      </c>
      <c r="G1287">
        <f t="shared" si="86"/>
        <v>0</v>
      </c>
      <c r="H1287" t="e">
        <f t="shared" si="87"/>
        <v>#NUM!</v>
      </c>
    </row>
    <row r="1288" spans="1:8" x14ac:dyDescent="0.2">
      <c r="A1288" s="1">
        <v>42047</v>
      </c>
      <c r="B1288">
        <v>541.44593220000002</v>
      </c>
      <c r="C1288" s="2">
        <f t="shared" si="89"/>
        <v>1.2985868264644011E-2</v>
      </c>
      <c r="D1288">
        <v>-8.1882604738057161</v>
      </c>
      <c r="E1288" s="15">
        <v>0</v>
      </c>
      <c r="F1288">
        <f t="shared" si="88"/>
        <v>3.2470783754355976E-3</v>
      </c>
      <c r="G1288">
        <f t="shared" ref="G1288:G1351" si="90">E1288/F1288</f>
        <v>0</v>
      </c>
      <c r="H1288" t="e">
        <f t="shared" ref="H1288:H1351" si="91">-LOG(G1288^2)-(F1288^2)/(G1288^2)</f>
        <v>#NUM!</v>
      </c>
    </row>
    <row r="1289" spans="1:8" x14ac:dyDescent="0.2">
      <c r="A1289" s="1">
        <v>42048</v>
      </c>
      <c r="B1289">
        <v>547.50931419999995</v>
      </c>
      <c r="C1289" s="2">
        <f t="shared" si="89"/>
        <v>1.119849949811837E-2</v>
      </c>
      <c r="D1289">
        <v>-0.13763952706897717</v>
      </c>
      <c r="E1289" s="15">
        <v>0</v>
      </c>
      <c r="F1289">
        <f t="shared" ref="F1289:F1352" si="92" xml:space="preserve"> $K$5 + $K$6 * G1288 ^ 2 + $K$7 * F1288</f>
        <v>3.2470769085522024E-3</v>
      </c>
      <c r="G1289">
        <f t="shared" si="90"/>
        <v>0</v>
      </c>
      <c r="H1289" t="e">
        <f t="shared" si="91"/>
        <v>#NUM!</v>
      </c>
    </row>
    <row r="1290" spans="1:8" x14ac:dyDescent="0.2">
      <c r="A1290" s="1">
        <v>42052</v>
      </c>
      <c r="B1290">
        <v>541.35614969999995</v>
      </c>
      <c r="C1290" s="2">
        <f t="shared" si="89"/>
        <v>-1.1238465429562191E-2</v>
      </c>
      <c r="D1290">
        <v>-2.0035688648689529</v>
      </c>
      <c r="E1290" s="15">
        <v>0</v>
      </c>
      <c r="F1290">
        <f t="shared" si="92"/>
        <v>3.2470767828808632E-3</v>
      </c>
      <c r="G1290">
        <f t="shared" si="90"/>
        <v>0</v>
      </c>
      <c r="H1290" t="e">
        <f t="shared" si="91"/>
        <v>#NUM!</v>
      </c>
    </row>
    <row r="1291" spans="1:8" x14ac:dyDescent="0.2">
      <c r="A1291" s="1">
        <v>42053</v>
      </c>
      <c r="B1291">
        <v>538.22472600000003</v>
      </c>
      <c r="C1291" s="2">
        <f t="shared" si="89"/>
        <v>-5.7844058883144414E-3</v>
      </c>
      <c r="D1291">
        <v>-0.48530287123552773</v>
      </c>
      <c r="E1291" s="15">
        <v>0</v>
      </c>
      <c r="F1291">
        <f t="shared" si="92"/>
        <v>3.247076772114305E-3</v>
      </c>
      <c r="G1291">
        <f t="shared" si="90"/>
        <v>0</v>
      </c>
      <c r="H1291" t="e">
        <f t="shared" si="91"/>
        <v>#NUM!</v>
      </c>
    </row>
    <row r="1292" spans="1:8" x14ac:dyDescent="0.2">
      <c r="A1292" s="1">
        <v>42054</v>
      </c>
      <c r="B1292">
        <v>541.38605659999996</v>
      </c>
      <c r="C1292" s="2">
        <f t="shared" si="89"/>
        <v>5.8736257315683566E-3</v>
      </c>
      <c r="D1292">
        <v>-2.0154242017203798</v>
      </c>
      <c r="E1292" s="15">
        <v>0</v>
      </c>
      <c r="F1292">
        <f t="shared" si="92"/>
        <v>3.2470767711919087E-3</v>
      </c>
      <c r="G1292">
        <f t="shared" si="90"/>
        <v>0</v>
      </c>
      <c r="H1292" t="e">
        <f t="shared" si="91"/>
        <v>#NUM!</v>
      </c>
    </row>
    <row r="1293" spans="1:8" x14ac:dyDescent="0.2">
      <c r="A1293" s="1">
        <v>42055</v>
      </c>
      <c r="B1293">
        <v>537.47679849999997</v>
      </c>
      <c r="C1293" s="2">
        <f t="shared" si="89"/>
        <v>-7.2208326245984597E-3</v>
      </c>
      <c r="D1293">
        <v>-2.229365464297361</v>
      </c>
      <c r="E1293" s="15">
        <v>1</v>
      </c>
      <c r="F1293">
        <f t="shared" si="92"/>
        <v>3.2470767711128847E-3</v>
      </c>
      <c r="G1293">
        <f t="shared" si="90"/>
        <v>307.96931224304427</v>
      </c>
      <c r="H1293">
        <f t="shared" si="91"/>
        <v>-4.9770148864399779</v>
      </c>
    </row>
    <row r="1294" spans="1:8" x14ac:dyDescent="0.2">
      <c r="A1294" s="1">
        <v>42058</v>
      </c>
      <c r="B1294">
        <v>530.45601399999998</v>
      </c>
      <c r="C1294" s="2">
        <f t="shared" si="89"/>
        <v>-1.3062488501073393E-2</v>
      </c>
      <c r="D1294">
        <v>0.80900031619272994</v>
      </c>
      <c r="E1294" s="15">
        <v>0</v>
      </c>
      <c r="F1294">
        <f t="shared" si="92"/>
        <v>12314.404749226929</v>
      </c>
      <c r="G1294">
        <f t="shared" si="90"/>
        <v>0</v>
      </c>
      <c r="H1294" t="e">
        <f t="shared" si="91"/>
        <v>#NUM!</v>
      </c>
    </row>
    <row r="1295" spans="1:8" x14ac:dyDescent="0.2">
      <c r="A1295" s="1">
        <v>42059</v>
      </c>
      <c r="B1295">
        <v>534.62461210000004</v>
      </c>
      <c r="C1295" s="2">
        <f t="shared" si="89"/>
        <v>7.858517935475897E-3</v>
      </c>
      <c r="D1295">
        <v>-1.6016095581504346</v>
      </c>
      <c r="E1295" s="15">
        <v>1</v>
      </c>
      <c r="F1295">
        <f t="shared" si="92"/>
        <v>1055.0068911248227</v>
      </c>
      <c r="G1295">
        <f t="shared" si="90"/>
        <v>9.4786110727089598E-4</v>
      </c>
      <c r="H1295">
        <f t="shared" si="91"/>
        <v>-1238857018311.6323</v>
      </c>
    </row>
    <row r="1296" spans="1:8" x14ac:dyDescent="0.2">
      <c r="A1296" s="1">
        <v>42060</v>
      </c>
      <c r="B1296">
        <v>542.38337539999998</v>
      </c>
      <c r="C1296" s="2">
        <f t="shared" si="89"/>
        <v>1.4512544174731497E-2</v>
      </c>
      <c r="D1296">
        <v>0.84672788099358642</v>
      </c>
      <c r="E1296" s="15">
        <v>1</v>
      </c>
      <c r="F1296">
        <f t="shared" si="92"/>
        <v>90.387882513321685</v>
      </c>
      <c r="G1296">
        <f t="shared" si="90"/>
        <v>1.1063429877922148E-2</v>
      </c>
      <c r="H1296">
        <f t="shared" si="91"/>
        <v>-66748394.536376752</v>
      </c>
    </row>
    <row r="1297" spans="1:8" x14ac:dyDescent="0.2">
      <c r="A1297" s="1">
        <v>42061</v>
      </c>
      <c r="B1297">
        <v>553.96161440000003</v>
      </c>
      <c r="C1297" s="2">
        <f t="shared" si="89"/>
        <v>2.134696512676346E-2</v>
      </c>
      <c r="D1297">
        <v>0.47093196546004029</v>
      </c>
      <c r="E1297" s="15">
        <v>0</v>
      </c>
      <c r="F1297">
        <f t="shared" si="92"/>
        <v>7.7467265658135007</v>
      </c>
      <c r="G1297">
        <f t="shared" si="90"/>
        <v>0</v>
      </c>
      <c r="H1297" t="e">
        <f t="shared" si="91"/>
        <v>#NUM!</v>
      </c>
    </row>
    <row r="1298" spans="1:8" x14ac:dyDescent="0.2">
      <c r="A1298" s="1">
        <v>42062</v>
      </c>
      <c r="B1298">
        <v>556.87361450000003</v>
      </c>
      <c r="C1298" s="2">
        <f t="shared" si="89"/>
        <v>5.2566820954805856E-3</v>
      </c>
      <c r="D1298">
        <v>-0.75375037789844446</v>
      </c>
      <c r="E1298" s="15">
        <v>1</v>
      </c>
      <c r="F1298">
        <f t="shared" si="92"/>
        <v>0.66664911682353112</v>
      </c>
      <c r="G1298">
        <f t="shared" si="90"/>
        <v>1.5000394881865722</v>
      </c>
      <c r="H1298">
        <f t="shared" si="91"/>
        <v>-0.54971544901718217</v>
      </c>
    </row>
    <row r="1299" spans="1:8" x14ac:dyDescent="0.2">
      <c r="A1299" s="1">
        <v>42065</v>
      </c>
      <c r="B1299">
        <v>569.7782747</v>
      </c>
      <c r="C1299" s="2">
        <f t="shared" si="89"/>
        <v>2.3173409305065874E-2</v>
      </c>
      <c r="D1299">
        <v>3.4083718368643852</v>
      </c>
      <c r="E1299" s="15">
        <v>0</v>
      </c>
      <c r="F1299">
        <f t="shared" si="92"/>
        <v>0.35223088290396631</v>
      </c>
      <c r="G1299">
        <f t="shared" si="90"/>
        <v>0</v>
      </c>
      <c r="H1299" t="e">
        <f t="shared" si="91"/>
        <v>#NUM!</v>
      </c>
    </row>
    <row r="1300" spans="1:8" x14ac:dyDescent="0.2">
      <c r="A1300" s="1">
        <v>42066</v>
      </c>
      <c r="B1300">
        <v>572.07198640000001</v>
      </c>
      <c r="C1300" s="2">
        <f t="shared" si="89"/>
        <v>4.0256215476234215E-3</v>
      </c>
      <c r="D1300">
        <v>-0.82628272367573508</v>
      </c>
      <c r="E1300" s="15">
        <v>0</v>
      </c>
      <c r="F1300">
        <f t="shared" si="92"/>
        <v>3.3145337528612928E-2</v>
      </c>
      <c r="G1300">
        <f t="shared" si="90"/>
        <v>0</v>
      </c>
      <c r="H1300" t="e">
        <f t="shared" si="91"/>
        <v>#NUM!</v>
      </c>
    </row>
    <row r="1301" spans="1:8" x14ac:dyDescent="0.2">
      <c r="A1301" s="1">
        <v>42067</v>
      </c>
      <c r="B1301">
        <v>571.80269869999995</v>
      </c>
      <c r="C1301" s="2">
        <f t="shared" si="89"/>
        <v>-4.7072345159683126E-4</v>
      </c>
      <c r="D1301">
        <v>-1.1169318690364047</v>
      </c>
      <c r="E1301" s="15">
        <v>0</v>
      </c>
      <c r="F1301">
        <f t="shared" si="92"/>
        <v>5.8085308575555345E-3</v>
      </c>
      <c r="G1301">
        <f t="shared" si="90"/>
        <v>0</v>
      </c>
      <c r="H1301" t="e">
        <f t="shared" si="91"/>
        <v>#NUM!</v>
      </c>
    </row>
    <row r="1302" spans="1:8" x14ac:dyDescent="0.2">
      <c r="A1302" s="1">
        <v>42068</v>
      </c>
      <c r="B1302">
        <v>573.7573582</v>
      </c>
      <c r="C1302" s="2">
        <f t="shared" si="89"/>
        <v>3.4184160103546014E-3</v>
      </c>
      <c r="D1302">
        <v>-8.2620473842090032</v>
      </c>
      <c r="E1302" s="15">
        <v>0</v>
      </c>
      <c r="F1302">
        <f t="shared" si="92"/>
        <v>3.4665225472396057E-3</v>
      </c>
      <c r="G1302">
        <f t="shared" si="90"/>
        <v>0</v>
      </c>
      <c r="H1302" t="e">
        <f t="shared" si="91"/>
        <v>#NUM!</v>
      </c>
    </row>
    <row r="1303" spans="1:8" x14ac:dyDescent="0.2">
      <c r="A1303" s="1">
        <v>42069</v>
      </c>
      <c r="B1303">
        <v>566.13323920000005</v>
      </c>
      <c r="C1303" s="2">
        <f t="shared" si="89"/>
        <v>-1.3288054420632528E-2</v>
      </c>
      <c r="D1303">
        <v>-4.8871964033582103</v>
      </c>
      <c r="E1303" s="15">
        <v>0</v>
      </c>
      <c r="F1303">
        <f t="shared" si="92"/>
        <v>3.2658772051705896E-3</v>
      </c>
      <c r="G1303">
        <f t="shared" si="90"/>
        <v>0</v>
      </c>
      <c r="H1303" t="e">
        <f t="shared" si="91"/>
        <v>#NUM!</v>
      </c>
    </row>
    <row r="1304" spans="1:8" x14ac:dyDescent="0.2">
      <c r="A1304" s="1">
        <v>42072</v>
      </c>
      <c r="B1304">
        <v>567.29504840000004</v>
      </c>
      <c r="C1304" s="2">
        <f t="shared" si="89"/>
        <v>2.0521833369857244E-3</v>
      </c>
      <c r="D1304">
        <v>-1.154438209840507</v>
      </c>
      <c r="E1304" s="15">
        <v>0</v>
      </c>
      <c r="F1304">
        <f t="shared" si="92"/>
        <v>3.2486874483637226E-3</v>
      </c>
      <c r="G1304">
        <f t="shared" si="90"/>
        <v>0</v>
      </c>
      <c r="H1304" t="e">
        <f t="shared" si="91"/>
        <v>#NUM!</v>
      </c>
    </row>
    <row r="1305" spans="1:8" x14ac:dyDescent="0.2">
      <c r="A1305" s="1">
        <v>42073</v>
      </c>
      <c r="B1305">
        <v>553.49292319999995</v>
      </c>
      <c r="C1305" s="2">
        <f t="shared" si="89"/>
        <v>-2.4329712094134488E-2</v>
      </c>
      <c r="D1305">
        <v>-12.855525603219403</v>
      </c>
      <c r="E1305" s="15">
        <v>0</v>
      </c>
      <c r="F1305">
        <f t="shared" si="92"/>
        <v>3.2472147616019356E-3</v>
      </c>
      <c r="G1305">
        <f t="shared" si="90"/>
        <v>0</v>
      </c>
      <c r="H1305" t="e">
        <f t="shared" si="91"/>
        <v>#NUM!</v>
      </c>
    </row>
    <row r="1306" spans="1:8" x14ac:dyDescent="0.2">
      <c r="A1306" s="1">
        <v>42074</v>
      </c>
      <c r="B1306">
        <v>549.67338670000004</v>
      </c>
      <c r="C1306" s="2">
        <f t="shared" si="89"/>
        <v>-6.9007865139763605E-3</v>
      </c>
      <c r="D1306">
        <v>-0.71636382348971439</v>
      </c>
      <c r="E1306" s="15">
        <v>0</v>
      </c>
      <c r="F1306">
        <f t="shared" si="92"/>
        <v>3.2470885930747885E-3</v>
      </c>
      <c r="G1306">
        <f t="shared" si="90"/>
        <v>0</v>
      </c>
      <c r="H1306" t="e">
        <f t="shared" si="91"/>
        <v>#NUM!</v>
      </c>
    </row>
    <row r="1307" spans="1:8" x14ac:dyDescent="0.2">
      <c r="A1307" s="1">
        <v>42075</v>
      </c>
      <c r="B1307">
        <v>553.99152130000004</v>
      </c>
      <c r="C1307" s="2">
        <f t="shared" si="89"/>
        <v>7.8558189362672431E-3</v>
      </c>
      <c r="D1307">
        <v>-2.1383947207114185</v>
      </c>
      <c r="E1307" s="15">
        <v>0</v>
      </c>
      <c r="F1307">
        <f t="shared" si="92"/>
        <v>3.2470777839213039E-3</v>
      </c>
      <c r="G1307">
        <f t="shared" si="90"/>
        <v>0</v>
      </c>
      <c r="H1307" t="e">
        <f t="shared" si="91"/>
        <v>#NUM!</v>
      </c>
    </row>
    <row r="1308" spans="1:8" x14ac:dyDescent="0.2">
      <c r="A1308" s="1">
        <v>42076</v>
      </c>
      <c r="B1308">
        <v>545.82394339999996</v>
      </c>
      <c r="C1308" s="2">
        <f t="shared" si="89"/>
        <v>-1.4743146033776822E-2</v>
      </c>
      <c r="D1308">
        <v>-2.8767166292127082</v>
      </c>
      <c r="E1308" s="15">
        <v>0</v>
      </c>
      <c r="F1308">
        <f t="shared" si="92"/>
        <v>3.2470768578757862E-3</v>
      </c>
      <c r="G1308">
        <f t="shared" si="90"/>
        <v>0</v>
      </c>
      <c r="H1308" t="e">
        <f t="shared" si="91"/>
        <v>#NUM!</v>
      </c>
    </row>
    <row r="1309" spans="1:8" x14ac:dyDescent="0.2">
      <c r="A1309" s="1">
        <v>42079</v>
      </c>
      <c r="B1309">
        <v>552.99426329999994</v>
      </c>
      <c r="C1309" s="2">
        <f t="shared" si="89"/>
        <v>1.3136689928505583E-2</v>
      </c>
      <c r="D1309">
        <v>-1.8910370892623041</v>
      </c>
      <c r="E1309" s="15">
        <v>0</v>
      </c>
      <c r="F1309">
        <f t="shared" si="92"/>
        <v>3.2470767785392957E-3</v>
      </c>
      <c r="G1309">
        <f t="shared" si="90"/>
        <v>0</v>
      </c>
      <c r="H1309" t="e">
        <f t="shared" si="91"/>
        <v>#NUM!</v>
      </c>
    </row>
    <row r="1310" spans="1:8" x14ac:dyDescent="0.2">
      <c r="A1310" s="1">
        <v>42080</v>
      </c>
      <c r="B1310">
        <v>549.33427380000001</v>
      </c>
      <c r="C1310" s="2">
        <f t="shared" si="89"/>
        <v>-6.618494517753053E-3</v>
      </c>
      <c r="D1310">
        <v>-1.5038175182464679</v>
      </c>
      <c r="E1310" s="15">
        <v>0</v>
      </c>
      <c r="F1310">
        <f t="shared" si="92"/>
        <v>3.247076771742353E-3</v>
      </c>
      <c r="G1310">
        <f t="shared" si="90"/>
        <v>0</v>
      </c>
      <c r="H1310" t="e">
        <f t="shared" si="91"/>
        <v>#NUM!</v>
      </c>
    </row>
    <row r="1311" spans="1:8" x14ac:dyDescent="0.2">
      <c r="A1311" s="1">
        <v>42081</v>
      </c>
      <c r="B1311">
        <v>557.97060469999997</v>
      </c>
      <c r="C1311" s="2">
        <f t="shared" si="89"/>
        <v>1.5721449237562503E-2</v>
      </c>
      <c r="D1311">
        <v>-3.3753814701201654</v>
      </c>
      <c r="E1311" s="15">
        <v>0</v>
      </c>
      <c r="F1311">
        <f t="shared" si="92"/>
        <v>3.2470767711600427E-3</v>
      </c>
      <c r="G1311">
        <f t="shared" si="90"/>
        <v>0</v>
      </c>
      <c r="H1311" t="e">
        <f t="shared" si="91"/>
        <v>#NUM!</v>
      </c>
    </row>
    <row r="1312" spans="1:8" x14ac:dyDescent="0.2">
      <c r="A1312" s="1">
        <v>42082</v>
      </c>
      <c r="B1312">
        <v>556.46473809999998</v>
      </c>
      <c r="C1312" s="2">
        <f t="shared" si="89"/>
        <v>-2.6988278366557299E-3</v>
      </c>
      <c r="D1312">
        <v>-1.17166533414792</v>
      </c>
      <c r="E1312" s="15">
        <v>0</v>
      </c>
      <c r="F1312">
        <f t="shared" si="92"/>
        <v>3.2470767711101547E-3</v>
      </c>
      <c r="G1312">
        <f t="shared" si="90"/>
        <v>0</v>
      </c>
      <c r="H1312" t="e">
        <f t="shared" si="91"/>
        <v>#NUM!</v>
      </c>
    </row>
    <row r="1313" spans="1:8" x14ac:dyDescent="0.2">
      <c r="A1313" s="1">
        <v>42083</v>
      </c>
      <c r="B1313">
        <v>558.82827399999996</v>
      </c>
      <c r="C1313" s="2">
        <f t="shared" si="89"/>
        <v>4.2474136062422823E-3</v>
      </c>
      <c r="D1313">
        <v>-2.5737993911851347</v>
      </c>
      <c r="E1313" s="15">
        <v>0</v>
      </c>
      <c r="F1313">
        <f t="shared" si="92"/>
        <v>3.2470767711058808E-3</v>
      </c>
      <c r="G1313">
        <f t="shared" si="90"/>
        <v>0</v>
      </c>
      <c r="H1313" t="e">
        <f t="shared" si="91"/>
        <v>#NUM!</v>
      </c>
    </row>
    <row r="1314" spans="1:8" x14ac:dyDescent="0.2">
      <c r="A1314" s="1">
        <v>42086</v>
      </c>
      <c r="B1314">
        <v>557.28249089999997</v>
      </c>
      <c r="C1314" s="2">
        <f t="shared" si="89"/>
        <v>-2.7661146937600985E-3</v>
      </c>
      <c r="D1314">
        <v>-1.6512468410646026</v>
      </c>
      <c r="E1314" s="15">
        <v>0</v>
      </c>
      <c r="F1314">
        <f t="shared" si="92"/>
        <v>3.2470767711055147E-3</v>
      </c>
      <c r="G1314">
        <f t="shared" si="90"/>
        <v>0</v>
      </c>
      <c r="H1314" t="e">
        <f t="shared" si="91"/>
        <v>#NUM!</v>
      </c>
    </row>
    <row r="1315" spans="1:8" x14ac:dyDescent="0.2">
      <c r="A1315" s="1">
        <v>42087</v>
      </c>
      <c r="B1315">
        <v>568.63141940000003</v>
      </c>
      <c r="C1315" s="2">
        <f t="shared" si="89"/>
        <v>2.0364767753014754E-2</v>
      </c>
      <c r="D1315">
        <v>-8.3622282542926847</v>
      </c>
      <c r="E1315" s="15">
        <v>0</v>
      </c>
      <c r="F1315">
        <f t="shared" si="92"/>
        <v>3.2470767711054831E-3</v>
      </c>
      <c r="G1315">
        <f t="shared" si="90"/>
        <v>0</v>
      </c>
      <c r="H1315" t="e">
        <f t="shared" si="91"/>
        <v>#NUM!</v>
      </c>
    </row>
    <row r="1316" spans="1:8" x14ac:dyDescent="0.2">
      <c r="A1316" s="1">
        <v>42088</v>
      </c>
      <c r="B1316">
        <v>557.25758829999995</v>
      </c>
      <c r="C1316" s="2">
        <f t="shared" si="89"/>
        <v>-2.0002115099445866E-2</v>
      </c>
      <c r="D1316">
        <v>-1.9821921537251412</v>
      </c>
      <c r="E1316" s="15">
        <v>0</v>
      </c>
      <c r="F1316">
        <f t="shared" si="92"/>
        <v>3.2470767711054805E-3</v>
      </c>
      <c r="G1316">
        <f t="shared" si="90"/>
        <v>0</v>
      </c>
      <c r="H1316" t="e">
        <f t="shared" si="91"/>
        <v>#NUM!</v>
      </c>
    </row>
    <row r="1317" spans="1:8" x14ac:dyDescent="0.2">
      <c r="A1317" s="1">
        <v>42089</v>
      </c>
      <c r="B1317">
        <v>553.65246909999996</v>
      </c>
      <c r="C1317" s="2">
        <f t="shared" si="89"/>
        <v>-6.4693945415762949E-3</v>
      </c>
      <c r="D1317">
        <v>-0.67656447783587037</v>
      </c>
      <c r="E1317" s="15">
        <v>1</v>
      </c>
      <c r="F1317">
        <f t="shared" si="92"/>
        <v>3.2470767711054805E-3</v>
      </c>
      <c r="G1317">
        <f t="shared" si="90"/>
        <v>307.96931224374651</v>
      </c>
      <c r="H1317">
        <f t="shared" si="91"/>
        <v>-4.9770148864419586</v>
      </c>
    </row>
    <row r="1318" spans="1:8" x14ac:dyDescent="0.2">
      <c r="A1318" s="1">
        <v>42090</v>
      </c>
      <c r="B1318">
        <v>546.84115959999997</v>
      </c>
      <c r="C1318" s="2">
        <f t="shared" si="89"/>
        <v>-1.2302499998008216E-2</v>
      </c>
      <c r="D1318">
        <v>0.90164626982398577</v>
      </c>
      <c r="E1318" s="15">
        <v>0</v>
      </c>
      <c r="F1318">
        <f t="shared" si="92"/>
        <v>12314.404749283089</v>
      </c>
      <c r="G1318">
        <f t="shared" si="90"/>
        <v>0</v>
      </c>
      <c r="H1318" t="e">
        <f t="shared" si="91"/>
        <v>#NUM!</v>
      </c>
    </row>
    <row r="1319" spans="1:8" x14ac:dyDescent="0.2">
      <c r="A1319" s="1">
        <v>42093</v>
      </c>
      <c r="B1319">
        <v>550.52104650000001</v>
      </c>
      <c r="C1319" s="2">
        <f t="shared" si="89"/>
        <v>6.729352455275648E-3</v>
      </c>
      <c r="D1319">
        <v>-1.5469906487596128</v>
      </c>
      <c r="E1319" s="15">
        <v>0</v>
      </c>
      <c r="F1319">
        <f t="shared" si="92"/>
        <v>1055.0068911296339</v>
      </c>
      <c r="G1319">
        <f t="shared" si="90"/>
        <v>0</v>
      </c>
      <c r="H1319" t="e">
        <f t="shared" si="91"/>
        <v>#NUM!</v>
      </c>
    </row>
    <row r="1320" spans="1:8" x14ac:dyDescent="0.2">
      <c r="A1320" s="1">
        <v>42094</v>
      </c>
      <c r="B1320">
        <v>546.50204659999997</v>
      </c>
      <c r="C1320" s="2">
        <f t="shared" si="89"/>
        <v>-7.3003564996311906E-3</v>
      </c>
      <c r="D1320">
        <v>-2.0848527474449474</v>
      </c>
      <c r="E1320" s="15">
        <v>1</v>
      </c>
      <c r="F1320">
        <f t="shared" si="92"/>
        <v>90.387882397083047</v>
      </c>
      <c r="G1320">
        <f t="shared" si="90"/>
        <v>1.1063429892149697E-2</v>
      </c>
      <c r="H1320">
        <f t="shared" si="91"/>
        <v>-66748394.193023503</v>
      </c>
    </row>
    <row r="1321" spans="1:8" x14ac:dyDescent="0.2">
      <c r="A1321" s="1">
        <v>42095</v>
      </c>
      <c r="B1321">
        <v>541.0769123</v>
      </c>
      <c r="C1321" s="2">
        <f t="shared" si="89"/>
        <v>-9.9270155230924036E-3</v>
      </c>
      <c r="D1321">
        <v>0.35979873360895598</v>
      </c>
      <c r="E1321" s="15">
        <v>1</v>
      </c>
      <c r="F1321">
        <f t="shared" si="92"/>
        <v>7.7467265558551048</v>
      </c>
      <c r="G1321">
        <f t="shared" si="90"/>
        <v>0.12908678172513827</v>
      </c>
      <c r="H1321">
        <f t="shared" si="91"/>
        <v>-3599.6345818776645</v>
      </c>
    </row>
    <row r="1322" spans="1:8" x14ac:dyDescent="0.2">
      <c r="A1322" s="1">
        <v>42096</v>
      </c>
      <c r="B1322">
        <v>534.0661384</v>
      </c>
      <c r="C1322" s="2">
        <f t="shared" si="89"/>
        <v>-1.2957074568564998E-2</v>
      </c>
      <c r="D1322">
        <v>0.30523363627507338</v>
      </c>
      <c r="E1322" s="15">
        <v>0</v>
      </c>
      <c r="F1322">
        <f t="shared" si="92"/>
        <v>0.66881264122984074</v>
      </c>
      <c r="G1322">
        <f t="shared" si="90"/>
        <v>0</v>
      </c>
      <c r="H1322" t="e">
        <f t="shared" si="91"/>
        <v>#NUM!</v>
      </c>
    </row>
    <row r="1323" spans="1:8" x14ac:dyDescent="0.2">
      <c r="A1323" s="1">
        <v>42100</v>
      </c>
      <c r="B1323">
        <v>535.29777200000001</v>
      </c>
      <c r="C1323" s="2">
        <f t="shared" si="89"/>
        <v>2.306144335774292E-3</v>
      </c>
      <c r="D1323">
        <v>-1.1779834115772707</v>
      </c>
      <c r="E1323" s="15">
        <v>0</v>
      </c>
      <c r="F1323">
        <f t="shared" si="92"/>
        <v>6.0267638893776301E-2</v>
      </c>
      <c r="G1323">
        <f t="shared" si="90"/>
        <v>0</v>
      </c>
      <c r="H1323" t="e">
        <f t="shared" si="91"/>
        <v>#NUM!</v>
      </c>
    </row>
    <row r="1324" spans="1:8" x14ac:dyDescent="0.2">
      <c r="A1324" s="1">
        <v>42101</v>
      </c>
      <c r="B1324">
        <v>535.55204590000005</v>
      </c>
      <c r="C1324" s="2">
        <f t="shared" si="89"/>
        <v>4.7501393299287598E-4</v>
      </c>
      <c r="D1324">
        <v>-0.79402246181031455</v>
      </c>
      <c r="E1324" s="15">
        <v>1</v>
      </c>
      <c r="F1324">
        <f t="shared" si="92"/>
        <v>8.1321619954732496E-3</v>
      </c>
      <c r="G1324">
        <f t="shared" si="90"/>
        <v>122.96852922465733</v>
      </c>
      <c r="H1324">
        <f t="shared" si="91"/>
        <v>-4.1795879616772105</v>
      </c>
    </row>
    <row r="1325" spans="1:8" x14ac:dyDescent="0.2">
      <c r="A1325" s="1">
        <v>42102</v>
      </c>
      <c r="B1325">
        <v>540.12952040000005</v>
      </c>
      <c r="C1325" s="2">
        <f t="shared" si="89"/>
        <v>8.5472075684213042E-3</v>
      </c>
      <c r="D1325">
        <v>16.993593397500387</v>
      </c>
      <c r="E1325" s="15">
        <v>0</v>
      </c>
      <c r="F1325">
        <f t="shared" si="92"/>
        <v>1963.3023714832723</v>
      </c>
      <c r="G1325">
        <f t="shared" si="90"/>
        <v>0</v>
      </c>
      <c r="H1325" t="e">
        <f t="shared" si="91"/>
        <v>#NUM!</v>
      </c>
    </row>
    <row r="1326" spans="1:8" x14ac:dyDescent="0.2">
      <c r="A1326" s="1">
        <v>42103</v>
      </c>
      <c r="B1326">
        <v>539.30181889999994</v>
      </c>
      <c r="C1326" s="2">
        <f t="shared" si="89"/>
        <v>-1.532413002324216E-3</v>
      </c>
      <c r="D1326">
        <v>-1.1792881464568501</v>
      </c>
      <c r="E1326" s="15">
        <v>0</v>
      </c>
      <c r="F1326">
        <f t="shared" si="92"/>
        <v>168.20368542073365</v>
      </c>
      <c r="G1326">
        <f t="shared" si="90"/>
        <v>0</v>
      </c>
      <c r="H1326" t="e">
        <f t="shared" si="91"/>
        <v>#NUM!</v>
      </c>
    </row>
    <row r="1327" spans="1:8" x14ac:dyDescent="0.2">
      <c r="A1327" s="1">
        <v>42104</v>
      </c>
      <c r="B1327">
        <v>538.53387129999999</v>
      </c>
      <c r="C1327" s="2">
        <f t="shared" si="89"/>
        <v>-1.4239662709951909E-3</v>
      </c>
      <c r="D1327">
        <v>-7.0768605568174825E-2</v>
      </c>
      <c r="E1327" s="15">
        <v>1</v>
      </c>
      <c r="F1327">
        <f t="shared" si="92"/>
        <v>14.41337292433065</v>
      </c>
      <c r="G1327">
        <f t="shared" si="90"/>
        <v>6.9380012940062019E-2</v>
      </c>
      <c r="H1327">
        <f t="shared" si="91"/>
        <v>-43155.800058360728</v>
      </c>
    </row>
    <row r="1328" spans="1:8" x14ac:dyDescent="0.2">
      <c r="A1328" s="1">
        <v>42107</v>
      </c>
      <c r="B1328">
        <v>537.69622100000004</v>
      </c>
      <c r="C1328" s="2">
        <f t="shared" si="89"/>
        <v>-1.555427327120381E-3</v>
      </c>
      <c r="D1328">
        <v>9.2320344100084384E-2</v>
      </c>
      <c r="E1328" s="15">
        <v>1</v>
      </c>
      <c r="F1328">
        <f t="shared" si="92"/>
        <v>1.238421319797115</v>
      </c>
      <c r="G1328">
        <f t="shared" si="90"/>
        <v>0.80747963880646489</v>
      </c>
      <c r="H1328">
        <f t="shared" si="91"/>
        <v>-2.1664600947390924</v>
      </c>
    </row>
    <row r="1329" spans="1:8" x14ac:dyDescent="0.2">
      <c r="A1329" s="1">
        <v>42108</v>
      </c>
      <c r="B1329">
        <v>528.94019969999999</v>
      </c>
      <c r="C1329" s="2">
        <f t="shared" si="89"/>
        <v>-1.6284327391618478E-2</v>
      </c>
      <c r="D1329">
        <v>9.4693591964635502</v>
      </c>
      <c r="E1329" s="15">
        <v>0</v>
      </c>
      <c r="F1329">
        <f t="shared" si="92"/>
        <v>0.19372409799082541</v>
      </c>
      <c r="G1329">
        <f t="shared" si="90"/>
        <v>0</v>
      </c>
      <c r="H1329" t="e">
        <f t="shared" si="91"/>
        <v>#NUM!</v>
      </c>
    </row>
    <row r="1330" spans="1:8" x14ac:dyDescent="0.2">
      <c r="A1330" s="1">
        <v>42109</v>
      </c>
      <c r="B1330">
        <v>531.07436429999996</v>
      </c>
      <c r="C1330" s="2">
        <f t="shared" si="89"/>
        <v>4.0347937275525686E-3</v>
      </c>
      <c r="D1330">
        <v>-1.2477715923120822</v>
      </c>
      <c r="E1330" s="15">
        <v>0</v>
      </c>
      <c r="F1330">
        <f t="shared" si="92"/>
        <v>1.9565689694286112E-2</v>
      </c>
      <c r="G1330">
        <f t="shared" si="90"/>
        <v>0</v>
      </c>
      <c r="H1330" t="e">
        <f t="shared" si="91"/>
        <v>#NUM!</v>
      </c>
    </row>
    <row r="1331" spans="1:8" x14ac:dyDescent="0.2">
      <c r="A1331" s="1">
        <v>42110</v>
      </c>
      <c r="B1331">
        <v>532.34084919999998</v>
      </c>
      <c r="C1331" s="2">
        <f t="shared" si="89"/>
        <v>2.3847599981018765E-3</v>
      </c>
      <c r="D1331">
        <v>-0.40895119821938758</v>
      </c>
      <c r="E1331" s="15">
        <v>0</v>
      </c>
      <c r="F1331">
        <f t="shared" si="92"/>
        <v>4.6451305942457402E-3</v>
      </c>
      <c r="G1331">
        <f t="shared" si="90"/>
        <v>0</v>
      </c>
      <c r="H1331" t="e">
        <f t="shared" si="91"/>
        <v>#NUM!</v>
      </c>
    </row>
    <row r="1332" spans="1:8" x14ac:dyDescent="0.2">
      <c r="A1332" s="1">
        <v>42111</v>
      </c>
      <c r="B1332">
        <v>522.61753950000002</v>
      </c>
      <c r="C1332" s="2">
        <f t="shared" si="89"/>
        <v>-1.8265195531419608E-2</v>
      </c>
      <c r="D1332">
        <v>-8.6591336427806525</v>
      </c>
      <c r="E1332" s="15">
        <v>0</v>
      </c>
      <c r="F1332">
        <f t="shared" si="92"/>
        <v>3.366851319444736E-3</v>
      </c>
      <c r="G1332">
        <f t="shared" si="90"/>
        <v>0</v>
      </c>
      <c r="H1332" t="e">
        <f t="shared" si="91"/>
        <v>#NUM!</v>
      </c>
    </row>
    <row r="1333" spans="1:8" x14ac:dyDescent="0.2">
      <c r="A1333" s="1">
        <v>42114</v>
      </c>
      <c r="B1333">
        <v>533.91654010000002</v>
      </c>
      <c r="C1333" s="2">
        <f t="shared" si="89"/>
        <v>2.162001797874983E-2</v>
      </c>
      <c r="D1333">
        <v>-2.1836729555705707</v>
      </c>
      <c r="E1333" s="15">
        <v>0</v>
      </c>
      <c r="F1333">
        <f t="shared" si="92"/>
        <v>3.2573381374366057E-3</v>
      </c>
      <c r="G1333">
        <f t="shared" si="90"/>
        <v>0</v>
      </c>
      <c r="H1333" t="e">
        <f t="shared" si="91"/>
        <v>#NUM!</v>
      </c>
    </row>
    <row r="1334" spans="1:8" x14ac:dyDescent="0.2">
      <c r="A1334" s="1">
        <v>42115</v>
      </c>
      <c r="B1334">
        <v>532.51040569999998</v>
      </c>
      <c r="C1334" s="2">
        <f t="shared" si="89"/>
        <v>-2.6336221008187526E-3</v>
      </c>
      <c r="D1334">
        <v>-1.1218140569266557</v>
      </c>
      <c r="E1334" s="15">
        <v>0</v>
      </c>
      <c r="F1334">
        <f t="shared" si="92"/>
        <v>3.2479558864137118E-3</v>
      </c>
      <c r="G1334">
        <f t="shared" si="90"/>
        <v>0</v>
      </c>
      <c r="H1334" t="e">
        <f t="shared" si="91"/>
        <v>#NUM!</v>
      </c>
    </row>
    <row r="1335" spans="1:8" x14ac:dyDescent="0.2">
      <c r="A1335" s="1">
        <v>42116</v>
      </c>
      <c r="B1335">
        <v>537.89067910000006</v>
      </c>
      <c r="C1335" s="2">
        <f t="shared" si="89"/>
        <v>1.0103602375483267E-2</v>
      </c>
      <c r="D1335">
        <v>-4.836390335706179</v>
      </c>
      <c r="E1335" s="15">
        <v>1</v>
      </c>
      <c r="F1335">
        <f t="shared" si="92"/>
        <v>3.2471520869747543E-3</v>
      </c>
      <c r="G1335">
        <f t="shared" si="90"/>
        <v>307.962169068484</v>
      </c>
      <c r="H1335">
        <f t="shared" si="91"/>
        <v>-4.9769947397750487</v>
      </c>
    </row>
    <row r="1336" spans="1:8" x14ac:dyDescent="0.2">
      <c r="A1336" s="1">
        <v>42117</v>
      </c>
      <c r="B1336">
        <v>545.50478859999998</v>
      </c>
      <c r="C1336" s="2">
        <f t="shared" si="89"/>
        <v>1.4155496266899201E-2</v>
      </c>
      <c r="D1336">
        <v>0.40103457567253348</v>
      </c>
      <c r="E1336" s="15">
        <v>1</v>
      </c>
      <c r="F1336">
        <f t="shared" si="92"/>
        <v>12313.833504658671</v>
      </c>
      <c r="G1336">
        <f t="shared" si="90"/>
        <v>8.120947872339445E-5</v>
      </c>
      <c r="H1336">
        <f t="shared" si="91"/>
        <v>-2.2991807189974204E+16</v>
      </c>
    </row>
    <row r="1337" spans="1:8" x14ac:dyDescent="0.2">
      <c r="A1337" s="1">
        <v>42118</v>
      </c>
      <c r="B1337">
        <v>563.51542940000002</v>
      </c>
      <c r="C1337" s="2">
        <f t="shared" si="89"/>
        <v>3.3016466906226595E-2</v>
      </c>
      <c r="D1337">
        <v>1.3324132396143071</v>
      </c>
      <c r="E1337" s="15">
        <v>0</v>
      </c>
      <c r="F1337">
        <f t="shared" si="92"/>
        <v>1054.9579512644075</v>
      </c>
      <c r="G1337">
        <f t="shared" si="90"/>
        <v>0</v>
      </c>
      <c r="H1337" t="e">
        <f t="shared" si="91"/>
        <v>#NUM!</v>
      </c>
    </row>
    <row r="1338" spans="1:8" x14ac:dyDescent="0.2">
      <c r="A1338" s="1">
        <v>42121</v>
      </c>
      <c r="B1338">
        <v>555.36999500000002</v>
      </c>
      <c r="C1338" s="2">
        <f t="shared" si="89"/>
        <v>-1.4454678567848277E-2</v>
      </c>
      <c r="D1338">
        <v>-1.4378021006579071</v>
      </c>
      <c r="E1338" s="15">
        <v>0</v>
      </c>
      <c r="F1338">
        <f t="shared" si="92"/>
        <v>90.383689604104504</v>
      </c>
      <c r="G1338">
        <f t="shared" si="90"/>
        <v>0</v>
      </c>
      <c r="H1338" t="e">
        <f t="shared" si="91"/>
        <v>#NUM!</v>
      </c>
    </row>
    <row r="1339" spans="1:8" x14ac:dyDescent="0.2">
      <c r="A1339" s="1">
        <v>42122</v>
      </c>
      <c r="B1339">
        <v>553.67999299999997</v>
      </c>
      <c r="C1339" s="2">
        <f t="shared" si="89"/>
        <v>-3.0430199960659551E-3</v>
      </c>
      <c r="D1339">
        <v>-0.7894785427581501</v>
      </c>
      <c r="E1339" s="15">
        <v>1</v>
      </c>
      <c r="F1339">
        <f t="shared" si="92"/>
        <v>7.7463514574722954</v>
      </c>
      <c r="G1339">
        <f t="shared" si="90"/>
        <v>0.12909303244114734</v>
      </c>
      <c r="H1339">
        <f t="shared" si="91"/>
        <v>-3598.9371494596467</v>
      </c>
    </row>
    <row r="1340" spans="1:8" x14ac:dyDescent="0.2">
      <c r="A1340" s="1">
        <v>42123</v>
      </c>
      <c r="B1340">
        <v>549.080017</v>
      </c>
      <c r="C1340" s="2">
        <f t="shared" si="89"/>
        <v>-8.3080047286447096E-3</v>
      </c>
      <c r="D1340">
        <v>1.7301840735142642</v>
      </c>
      <c r="E1340" s="15">
        <v>1</v>
      </c>
      <c r="F1340">
        <f t="shared" si="92"/>
        <v>0.66878071520413795</v>
      </c>
      <c r="G1340">
        <f t="shared" si="90"/>
        <v>1.4952584266649509</v>
      </c>
      <c r="H1340">
        <f t="shared" si="91"/>
        <v>-0.54948086348399083</v>
      </c>
    </row>
    <row r="1341" spans="1:8" x14ac:dyDescent="0.2">
      <c r="A1341" s="1">
        <v>42124</v>
      </c>
      <c r="B1341">
        <v>537.34002699999996</v>
      </c>
      <c r="C1341" s="2">
        <f t="shared" si="89"/>
        <v>-2.1381200620163954E-2</v>
      </c>
      <c r="D1341">
        <v>1.5735662554987355</v>
      </c>
      <c r="E1341" s="15">
        <v>0</v>
      </c>
      <c r="F1341">
        <f t="shared" si="92"/>
        <v>0.35055414495041631</v>
      </c>
      <c r="G1341">
        <f t="shared" si="90"/>
        <v>0</v>
      </c>
      <c r="H1341" t="e">
        <f t="shared" si="91"/>
        <v>#NUM!</v>
      </c>
    </row>
    <row r="1342" spans="1:8" x14ac:dyDescent="0.2">
      <c r="A1342" s="1">
        <v>42125</v>
      </c>
      <c r="B1342">
        <v>537.90002400000003</v>
      </c>
      <c r="C1342" s="2">
        <f t="shared" si="89"/>
        <v>1.0421650572479439E-3</v>
      </c>
      <c r="D1342">
        <v>-1.0487421205086636</v>
      </c>
      <c r="E1342" s="15">
        <v>1</v>
      </c>
      <c r="F1342">
        <f t="shared" si="92"/>
        <v>3.3001687457531521E-2</v>
      </c>
      <c r="G1342">
        <f t="shared" si="90"/>
        <v>30.301480834483321</v>
      </c>
      <c r="H1342">
        <f t="shared" si="91"/>
        <v>-2.9629288921800692</v>
      </c>
    </row>
    <row r="1343" spans="1:8" x14ac:dyDescent="0.2">
      <c r="A1343" s="1">
        <v>42128</v>
      </c>
      <c r="B1343">
        <v>540.78002900000001</v>
      </c>
      <c r="C1343" s="2">
        <f t="shared" si="89"/>
        <v>5.3541641039227443E-3</v>
      </c>
      <c r="D1343">
        <v>4.1375394585398411</v>
      </c>
      <c r="E1343" s="15">
        <v>0</v>
      </c>
      <c r="F1343">
        <f t="shared" si="92"/>
        <v>119.21948573185695</v>
      </c>
      <c r="G1343">
        <f t="shared" si="90"/>
        <v>0</v>
      </c>
      <c r="H1343" t="e">
        <f t="shared" si="91"/>
        <v>#NUM!</v>
      </c>
    </row>
    <row r="1344" spans="1:8" x14ac:dyDescent="0.2">
      <c r="A1344" s="1">
        <v>42129</v>
      </c>
      <c r="B1344">
        <v>530.79998799999998</v>
      </c>
      <c r="C1344" s="2">
        <f t="shared" si="89"/>
        <v>-1.845489933948731E-2</v>
      </c>
      <c r="D1344">
        <v>-4.446831098427908</v>
      </c>
      <c r="E1344" s="15">
        <v>0</v>
      </c>
      <c r="F1344">
        <f t="shared" si="92"/>
        <v>10.216781708466931</v>
      </c>
      <c r="G1344">
        <f t="shared" si="90"/>
        <v>0</v>
      </c>
      <c r="H1344" t="e">
        <f t="shared" si="91"/>
        <v>#NUM!</v>
      </c>
    </row>
    <row r="1345" spans="1:8" x14ac:dyDescent="0.2">
      <c r="A1345" s="1">
        <v>42130</v>
      </c>
      <c r="B1345">
        <v>524.21997099999999</v>
      </c>
      <c r="C1345" s="2">
        <f t="shared" si="89"/>
        <v>-1.239641512576673E-2</v>
      </c>
      <c r="D1345">
        <v>-0.32828595281240314</v>
      </c>
      <c r="E1345" s="15">
        <v>0</v>
      </c>
      <c r="F1345">
        <f t="shared" si="92"/>
        <v>0.87826453118564951</v>
      </c>
      <c r="G1345">
        <f t="shared" si="90"/>
        <v>0</v>
      </c>
      <c r="H1345" t="e">
        <f t="shared" si="91"/>
        <v>#NUM!</v>
      </c>
    </row>
    <row r="1346" spans="1:8" x14ac:dyDescent="0.2">
      <c r="A1346" s="1">
        <v>42131</v>
      </c>
      <c r="B1346">
        <v>530.70001200000002</v>
      </c>
      <c r="C1346" s="2">
        <f t="shared" si="89"/>
        <v>1.2361301282815929E-2</v>
      </c>
      <c r="D1346">
        <v>-1.9971674195648859</v>
      </c>
      <c r="E1346" s="15">
        <v>1</v>
      </c>
      <c r="F1346">
        <f t="shared" si="92"/>
        <v>7.8211873302370727E-2</v>
      </c>
      <c r="G1346">
        <f t="shared" si="90"/>
        <v>12.785782487704312</v>
      </c>
      <c r="H1346">
        <f t="shared" si="91"/>
        <v>-2.2134920427248539</v>
      </c>
    </row>
    <row r="1347" spans="1:8" x14ac:dyDescent="0.2">
      <c r="A1347" s="1">
        <v>42132</v>
      </c>
      <c r="B1347">
        <v>538.21997099999999</v>
      </c>
      <c r="C1347" s="2">
        <f t="shared" si="89"/>
        <v>1.4169886621370514E-2</v>
      </c>
      <c r="D1347">
        <v>0.14631027083441378</v>
      </c>
      <c r="E1347" s="15">
        <v>0</v>
      </c>
      <c r="F1347">
        <f t="shared" si="92"/>
        <v>21.234930855040723</v>
      </c>
      <c r="G1347">
        <f t="shared" si="90"/>
        <v>0</v>
      </c>
      <c r="H1347" t="e">
        <f t="shared" si="91"/>
        <v>#NUM!</v>
      </c>
    </row>
    <row r="1348" spans="1:8" x14ac:dyDescent="0.2">
      <c r="A1348" s="1">
        <v>42135</v>
      </c>
      <c r="B1348">
        <v>535.70001200000002</v>
      </c>
      <c r="C1348" s="2">
        <f t="shared" ref="C1348:C1411" si="93">(B1348-B1347)/B1347</f>
        <v>-4.682024331646311E-3</v>
      </c>
      <c r="D1348">
        <v>-1.3304207335424301</v>
      </c>
      <c r="E1348" s="15">
        <v>1</v>
      </c>
      <c r="F1348">
        <f t="shared" si="92"/>
        <v>1.8222151972631389</v>
      </c>
      <c r="G1348">
        <f t="shared" si="90"/>
        <v>0.54878260344987895</v>
      </c>
      <c r="H1348">
        <f t="shared" si="91"/>
        <v>-10.50430990548228</v>
      </c>
    </row>
    <row r="1349" spans="1:8" x14ac:dyDescent="0.2">
      <c r="A1349" s="1">
        <v>42136</v>
      </c>
      <c r="B1349">
        <v>529.03997800000002</v>
      </c>
      <c r="C1349" s="2">
        <f t="shared" si="93"/>
        <v>-1.2432394718706849E-2</v>
      </c>
      <c r="D1349">
        <v>1.6553460294246962</v>
      </c>
      <c r="E1349" s="15">
        <v>0</v>
      </c>
      <c r="F1349">
        <f t="shared" si="92"/>
        <v>0.19818435074184332</v>
      </c>
      <c r="G1349">
        <f t="shared" si="90"/>
        <v>0</v>
      </c>
      <c r="H1349" t="e">
        <f t="shared" si="91"/>
        <v>#NUM!</v>
      </c>
    </row>
    <row r="1350" spans="1:8" x14ac:dyDescent="0.2">
      <c r="A1350" s="1">
        <v>42137</v>
      </c>
      <c r="B1350">
        <v>529.61999500000002</v>
      </c>
      <c r="C1350" s="2">
        <f t="shared" si="93"/>
        <v>1.0963575988958587E-3</v>
      </c>
      <c r="D1350">
        <v>-1.0881855526390412</v>
      </c>
      <c r="E1350" s="15">
        <v>1</v>
      </c>
      <c r="F1350">
        <f t="shared" si="92"/>
        <v>1.9947810003168163E-2</v>
      </c>
      <c r="G1350">
        <f t="shared" si="90"/>
        <v>50.130816357343356</v>
      </c>
      <c r="H1350">
        <f t="shared" si="91"/>
        <v>-3.4002097122504731</v>
      </c>
    </row>
    <row r="1351" spans="1:8" x14ac:dyDescent="0.2">
      <c r="A1351" s="1">
        <v>42138</v>
      </c>
      <c r="B1351">
        <v>538.40002400000003</v>
      </c>
      <c r="C1351" s="2">
        <f t="shared" si="93"/>
        <v>1.6577978707167228E-2</v>
      </c>
      <c r="D1351">
        <v>14.120959369336157</v>
      </c>
      <c r="E1351" s="15">
        <v>0</v>
      </c>
      <c r="F1351">
        <f t="shared" si="92"/>
        <v>326.29784316423718</v>
      </c>
      <c r="G1351">
        <f t="shared" si="90"/>
        <v>0</v>
      </c>
      <c r="H1351" t="e">
        <f t="shared" si="91"/>
        <v>#NUM!</v>
      </c>
    </row>
    <row r="1352" spans="1:8" x14ac:dyDescent="0.2">
      <c r="A1352" s="1">
        <v>42139</v>
      </c>
      <c r="B1352">
        <v>533.84997599999997</v>
      </c>
      <c r="C1352" s="2">
        <f t="shared" si="93"/>
        <v>-8.45105460099322E-3</v>
      </c>
      <c r="D1352">
        <v>-1.5097759353098661</v>
      </c>
      <c r="E1352" s="15">
        <v>0</v>
      </c>
      <c r="F1352">
        <f t="shared" si="92"/>
        <v>27.957670021756076</v>
      </c>
      <c r="G1352">
        <f t="shared" ref="G1352:G1415" si="94">E1352/F1352</f>
        <v>0</v>
      </c>
      <c r="H1352" t="e">
        <f t="shared" ref="H1352:H1415" si="95">-LOG(G1352^2)-(F1352^2)/(G1352^2)</f>
        <v>#NUM!</v>
      </c>
    </row>
    <row r="1353" spans="1:8" x14ac:dyDescent="0.2">
      <c r="A1353" s="1">
        <v>42142</v>
      </c>
      <c r="B1353">
        <v>532.29998799999998</v>
      </c>
      <c r="C1353" s="2">
        <f t="shared" si="93"/>
        <v>-2.9034149474233282E-3</v>
      </c>
      <c r="D1353">
        <v>-0.65644347545901538</v>
      </c>
      <c r="E1353" s="15">
        <v>0</v>
      </c>
      <c r="F1353">
        <f t="shared" ref="F1353:F1416" si="96" xml:space="preserve"> $K$5 + $K$6 * G1352 ^ 2 + $K$7 * F1352</f>
        <v>2.3981680210874123</v>
      </c>
      <c r="G1353">
        <f t="shared" si="94"/>
        <v>0</v>
      </c>
      <c r="H1353" t="e">
        <f t="shared" si="95"/>
        <v>#NUM!</v>
      </c>
    </row>
    <row r="1354" spans="1:8" x14ac:dyDescent="0.2">
      <c r="A1354" s="1">
        <v>42143</v>
      </c>
      <c r="B1354">
        <v>537.35998500000005</v>
      </c>
      <c r="C1354" s="2">
        <f t="shared" si="93"/>
        <v>9.5059122939526852E-3</v>
      </c>
      <c r="D1354">
        <v>-4.2740453796963553</v>
      </c>
      <c r="E1354" s="15">
        <v>0</v>
      </c>
      <c r="F1354">
        <f t="shared" si="96"/>
        <v>0.20842556823246786</v>
      </c>
      <c r="G1354">
        <f t="shared" si="94"/>
        <v>0</v>
      </c>
      <c r="H1354" t="e">
        <f t="shared" si="95"/>
        <v>#NUM!</v>
      </c>
    </row>
    <row r="1355" spans="1:8" x14ac:dyDescent="0.2">
      <c r="A1355" s="1">
        <v>42144</v>
      </c>
      <c r="B1355">
        <v>539.27002000000005</v>
      </c>
      <c r="C1355" s="2">
        <f t="shared" si="93"/>
        <v>3.5544794054585089E-3</v>
      </c>
      <c r="D1355">
        <v>-0.62607698287730473</v>
      </c>
      <c r="E1355" s="15">
        <v>1</v>
      </c>
      <c r="F1355">
        <f t="shared" si="96"/>
        <v>2.0825199113001153E-2</v>
      </c>
      <c r="G1355">
        <f t="shared" si="94"/>
        <v>48.018748563882923</v>
      </c>
      <c r="H1355">
        <f t="shared" si="95"/>
        <v>-3.3628218631731546</v>
      </c>
    </row>
    <row r="1356" spans="1:8" x14ac:dyDescent="0.2">
      <c r="A1356" s="1">
        <v>42145</v>
      </c>
      <c r="B1356">
        <v>542.51000999999997</v>
      </c>
      <c r="C1356" s="2">
        <f t="shared" si="93"/>
        <v>6.0081033245644186E-3</v>
      </c>
      <c r="D1356">
        <v>0.69029065559866576</v>
      </c>
      <c r="E1356" s="15">
        <v>0</v>
      </c>
      <c r="F1356">
        <f t="shared" si="96"/>
        <v>299.3829014882852</v>
      </c>
      <c r="G1356">
        <f t="shared" si="94"/>
        <v>0</v>
      </c>
      <c r="H1356" t="e">
        <f t="shared" si="95"/>
        <v>#NUM!</v>
      </c>
    </row>
    <row r="1357" spans="1:8" x14ac:dyDescent="0.2">
      <c r="A1357" s="1">
        <v>42146</v>
      </c>
      <c r="B1357">
        <v>540.10998500000005</v>
      </c>
      <c r="C1357" s="2">
        <f t="shared" si="93"/>
        <v>-4.4239275879903381E-3</v>
      </c>
      <c r="D1357">
        <v>-1.7363268154698501</v>
      </c>
      <c r="E1357" s="15">
        <v>1</v>
      </c>
      <c r="F1357">
        <f t="shared" si="96"/>
        <v>25.651803874504655</v>
      </c>
      <c r="G1357">
        <f t="shared" si="94"/>
        <v>3.8983613195089986E-2</v>
      </c>
      <c r="H1357">
        <f t="shared" si="95"/>
        <v>-432980.97728356509</v>
      </c>
    </row>
    <row r="1358" spans="1:8" x14ac:dyDescent="0.2">
      <c r="A1358" s="1">
        <v>42150</v>
      </c>
      <c r="B1358">
        <v>532.32000700000003</v>
      </c>
      <c r="C1358" s="2">
        <f t="shared" si="93"/>
        <v>-1.4422947577982693E-2</v>
      </c>
      <c r="D1358">
        <v>2.2602133039285617</v>
      </c>
      <c r="E1358" s="15">
        <v>0</v>
      </c>
      <c r="F1358">
        <f t="shared" si="96"/>
        <v>2.2008163789880828</v>
      </c>
      <c r="G1358">
        <f t="shared" si="94"/>
        <v>0</v>
      </c>
      <c r="H1358" t="e">
        <f t="shared" si="95"/>
        <v>#NUM!</v>
      </c>
    </row>
    <row r="1359" spans="1:8" x14ac:dyDescent="0.2">
      <c r="A1359" s="1">
        <v>42151</v>
      </c>
      <c r="B1359">
        <v>539.78997800000002</v>
      </c>
      <c r="C1359" s="2">
        <f t="shared" si="93"/>
        <v>1.4032857870773184E-2</v>
      </c>
      <c r="D1359">
        <v>-1.9729535377494543</v>
      </c>
      <c r="E1359" s="15">
        <v>0</v>
      </c>
      <c r="F1359">
        <f t="shared" si="96"/>
        <v>0.19151799042307893</v>
      </c>
      <c r="G1359">
        <f t="shared" si="94"/>
        <v>0</v>
      </c>
      <c r="H1359" t="e">
        <f t="shared" si="95"/>
        <v>#NUM!</v>
      </c>
    </row>
    <row r="1360" spans="1:8" x14ac:dyDescent="0.2">
      <c r="A1360" s="1">
        <v>42152</v>
      </c>
      <c r="B1360">
        <v>539.78002900000001</v>
      </c>
      <c r="C1360" s="2">
        <f t="shared" si="93"/>
        <v>-1.8431242530416117E-5</v>
      </c>
      <c r="D1360">
        <v>-1.0013134347044734</v>
      </c>
      <c r="E1360" s="15">
        <v>1</v>
      </c>
      <c r="F1360">
        <f t="shared" si="96"/>
        <v>1.9376687287410866E-2</v>
      </c>
      <c r="G1360">
        <f t="shared" si="94"/>
        <v>51.608408866138085</v>
      </c>
      <c r="H1360">
        <f t="shared" si="95"/>
        <v>-3.4254410801375985</v>
      </c>
    </row>
    <row r="1361" spans="1:8" x14ac:dyDescent="0.2">
      <c r="A1361" s="1">
        <v>42153</v>
      </c>
      <c r="B1361">
        <v>532.10998500000005</v>
      </c>
      <c r="C1361" s="2">
        <f t="shared" si="93"/>
        <v>-1.4209573507581476E-2</v>
      </c>
      <c r="D1361">
        <v>769.95038406293872</v>
      </c>
      <c r="E1361" s="15">
        <v>0</v>
      </c>
      <c r="F1361">
        <f t="shared" si="96"/>
        <v>345.81607359480751</v>
      </c>
      <c r="G1361">
        <f t="shared" si="94"/>
        <v>0</v>
      </c>
      <c r="H1361" t="e">
        <f t="shared" si="95"/>
        <v>#NUM!</v>
      </c>
    </row>
    <row r="1362" spans="1:8" x14ac:dyDescent="0.2">
      <c r="A1362" s="1">
        <v>42156</v>
      </c>
      <c r="B1362">
        <v>533.98999000000003</v>
      </c>
      <c r="C1362" s="2">
        <f t="shared" si="93"/>
        <v>3.5331135535823155E-3</v>
      </c>
      <c r="D1362">
        <v>-1.2486431807187761</v>
      </c>
      <c r="E1362" s="15">
        <v>1</v>
      </c>
      <c r="F1362">
        <f t="shared" si="96"/>
        <v>29.629842577281881</v>
      </c>
      <c r="G1362">
        <f t="shared" si="94"/>
        <v>3.3749757441058126E-2</v>
      </c>
      <c r="H1362">
        <f t="shared" si="95"/>
        <v>-770753.8767345621</v>
      </c>
    </row>
    <row r="1363" spans="1:8" x14ac:dyDescent="0.2">
      <c r="A1363" s="1">
        <v>42157</v>
      </c>
      <c r="B1363">
        <v>539.17999299999997</v>
      </c>
      <c r="C1363" s="2">
        <f t="shared" si="93"/>
        <v>9.7192889327381085E-3</v>
      </c>
      <c r="D1363">
        <v>1.7509132625764234</v>
      </c>
      <c r="E1363" s="15">
        <v>0</v>
      </c>
      <c r="F1363">
        <f t="shared" si="96"/>
        <v>2.5415748541332035</v>
      </c>
      <c r="G1363">
        <f t="shared" si="94"/>
        <v>0</v>
      </c>
      <c r="H1363" t="e">
        <f t="shared" si="95"/>
        <v>#NUM!</v>
      </c>
    </row>
    <row r="1364" spans="1:8" x14ac:dyDescent="0.2">
      <c r="A1364" s="1">
        <v>42158</v>
      </c>
      <c r="B1364">
        <v>540.30999799999995</v>
      </c>
      <c r="C1364" s="2">
        <f t="shared" si="93"/>
        <v>2.0957843663905809E-3</v>
      </c>
      <c r="D1364">
        <v>-0.78436854991199867</v>
      </c>
      <c r="E1364" s="15">
        <v>0</v>
      </c>
      <c r="F1364">
        <f t="shared" si="96"/>
        <v>0.22071156779308662</v>
      </c>
      <c r="G1364">
        <f t="shared" si="94"/>
        <v>0</v>
      </c>
      <c r="H1364" t="e">
        <f t="shared" si="95"/>
        <v>#NUM!</v>
      </c>
    </row>
    <row r="1365" spans="1:8" x14ac:dyDescent="0.2">
      <c r="A1365" s="1">
        <v>42159</v>
      </c>
      <c r="B1365">
        <v>536.70001200000002</v>
      </c>
      <c r="C1365" s="2">
        <f t="shared" si="93"/>
        <v>-6.6813237092827882E-3</v>
      </c>
      <c r="D1365">
        <v>-4.1879824167166362</v>
      </c>
      <c r="E1365" s="15">
        <v>0</v>
      </c>
      <c r="F1365">
        <f t="shared" si="96"/>
        <v>2.1877769496138517E-2</v>
      </c>
      <c r="G1365">
        <f t="shared" si="94"/>
        <v>0</v>
      </c>
      <c r="H1365" t="e">
        <f t="shared" si="95"/>
        <v>#NUM!</v>
      </c>
    </row>
    <row r="1366" spans="1:8" x14ac:dyDescent="0.2">
      <c r="A1366" s="1">
        <v>42160</v>
      </c>
      <c r="B1366">
        <v>533.330017</v>
      </c>
      <c r="C1366" s="2">
        <f t="shared" si="93"/>
        <v>-6.2791036419802002E-3</v>
      </c>
      <c r="D1366">
        <v>-6.0200655559280572E-2</v>
      </c>
      <c r="E1366" s="15">
        <v>1</v>
      </c>
      <c r="F1366">
        <f t="shared" si="96"/>
        <v>4.8432118908364255E-3</v>
      </c>
      <c r="G1366">
        <f t="shared" si="94"/>
        <v>206.47455088472279</v>
      </c>
      <c r="H1366">
        <f t="shared" si="95"/>
        <v>-4.6297330608019696</v>
      </c>
    </row>
    <row r="1367" spans="1:8" x14ac:dyDescent="0.2">
      <c r="A1367" s="1">
        <v>42163</v>
      </c>
      <c r="B1367">
        <v>526.830017</v>
      </c>
      <c r="C1367" s="2">
        <f t="shared" si="93"/>
        <v>-1.2187575783869671E-2</v>
      </c>
      <c r="D1367">
        <v>0.9409738202738368</v>
      </c>
      <c r="E1367" s="15">
        <v>0</v>
      </c>
      <c r="F1367">
        <f t="shared" si="96"/>
        <v>5535.1800048558835</v>
      </c>
      <c r="G1367">
        <f t="shared" si="94"/>
        <v>0</v>
      </c>
      <c r="H1367" t="e">
        <f t="shared" si="95"/>
        <v>#NUM!</v>
      </c>
    </row>
    <row r="1368" spans="1:8" x14ac:dyDescent="0.2">
      <c r="A1368" s="1">
        <v>42164</v>
      </c>
      <c r="B1368">
        <v>526.69000200000005</v>
      </c>
      <c r="C1368" s="2">
        <f t="shared" si="93"/>
        <v>-2.6576883526351628E-4</v>
      </c>
      <c r="D1368">
        <v>-0.97819346193397516</v>
      </c>
      <c r="E1368" s="15">
        <v>0</v>
      </c>
      <c r="F1368">
        <f t="shared" si="96"/>
        <v>474.21481544957521</v>
      </c>
      <c r="G1368">
        <f t="shared" si="94"/>
        <v>0</v>
      </c>
      <c r="H1368" t="e">
        <f t="shared" si="95"/>
        <v>#NUM!</v>
      </c>
    </row>
    <row r="1369" spans="1:8" x14ac:dyDescent="0.2">
      <c r="A1369" s="1">
        <v>42165</v>
      </c>
      <c r="B1369">
        <v>536.69000200000005</v>
      </c>
      <c r="C1369" s="2">
        <f t="shared" si="93"/>
        <v>1.8986500525977328E-2</v>
      </c>
      <c r="D1369">
        <v>-72.439905687782201</v>
      </c>
      <c r="E1369" s="15">
        <v>0</v>
      </c>
      <c r="F1369">
        <f t="shared" si="96"/>
        <v>40.630063783672846</v>
      </c>
      <c r="G1369">
        <f t="shared" si="94"/>
        <v>0</v>
      </c>
      <c r="H1369" t="e">
        <f t="shared" si="95"/>
        <v>#NUM!</v>
      </c>
    </row>
    <row r="1370" spans="1:8" x14ac:dyDescent="0.2">
      <c r="A1370" s="1">
        <v>42166</v>
      </c>
      <c r="B1370">
        <v>534.60998500000005</v>
      </c>
      <c r="C1370" s="2">
        <f t="shared" si="93"/>
        <v>-3.8756395540232138E-3</v>
      </c>
      <c r="D1370">
        <v>-1.2041260604459765</v>
      </c>
      <c r="E1370" s="15">
        <v>1</v>
      </c>
      <c r="F1370">
        <f t="shared" si="96"/>
        <v>3.4838417012333469</v>
      </c>
      <c r="G1370">
        <f t="shared" si="94"/>
        <v>0.28703944833256367</v>
      </c>
      <c r="H1370">
        <f t="shared" si="95"/>
        <v>-146.22636610063233</v>
      </c>
    </row>
    <row r="1371" spans="1:8" x14ac:dyDescent="0.2">
      <c r="A1371" s="1">
        <v>42167</v>
      </c>
      <c r="B1371">
        <v>532.330017</v>
      </c>
      <c r="C1371" s="2">
        <f t="shared" si="93"/>
        <v>-4.2647314191111736E-3</v>
      </c>
      <c r="D1371">
        <v>0.10039423420685559</v>
      </c>
      <c r="E1371" s="15">
        <v>1</v>
      </c>
      <c r="F1371">
        <f t="shared" si="96"/>
        <v>0.31213526022935317</v>
      </c>
      <c r="G1371">
        <f t="shared" si="94"/>
        <v>3.2037392996395608</v>
      </c>
      <c r="H1371">
        <f t="shared" si="95"/>
        <v>-1.0208066344931284</v>
      </c>
    </row>
    <row r="1372" spans="1:8" x14ac:dyDescent="0.2">
      <c r="A1372" s="1">
        <v>42170</v>
      </c>
      <c r="B1372">
        <v>527.20001200000002</v>
      </c>
      <c r="C1372" s="2">
        <f t="shared" si="93"/>
        <v>-9.6368884642475134E-3</v>
      </c>
      <c r="D1372">
        <v>1.2596706608680104</v>
      </c>
      <c r="E1372" s="15">
        <v>0</v>
      </c>
      <c r="F1372">
        <f t="shared" si="96"/>
        <v>1.3623499925940241</v>
      </c>
      <c r="G1372">
        <f t="shared" si="94"/>
        <v>0</v>
      </c>
      <c r="H1372" t="e">
        <f t="shared" si="95"/>
        <v>#NUM!</v>
      </c>
    </row>
    <row r="1373" spans="1:8" x14ac:dyDescent="0.2">
      <c r="A1373" s="1">
        <v>42171</v>
      </c>
      <c r="B1373">
        <v>528.15002400000003</v>
      </c>
      <c r="C1373" s="2">
        <f t="shared" si="93"/>
        <v>1.8019954066313929E-3</v>
      </c>
      <c r="D1373">
        <v>-1.1869893392786195</v>
      </c>
      <c r="E1373" s="15">
        <v>1</v>
      </c>
      <c r="F1373">
        <f t="shared" si="96"/>
        <v>0.11968460957196081</v>
      </c>
      <c r="G1373">
        <f t="shared" si="94"/>
        <v>8.3552931623906606</v>
      </c>
      <c r="H1373">
        <f t="shared" si="95"/>
        <v>-1.8441285737978987</v>
      </c>
    </row>
    <row r="1374" spans="1:8" x14ac:dyDescent="0.2">
      <c r="A1374" s="1">
        <v>42172</v>
      </c>
      <c r="B1374">
        <v>529.26000999999997</v>
      </c>
      <c r="C1374" s="2">
        <f t="shared" si="93"/>
        <v>2.1016490572003366E-3</v>
      </c>
      <c r="D1374">
        <v>0.16628990810199074</v>
      </c>
      <c r="E1374" s="15">
        <v>1</v>
      </c>
      <c r="F1374">
        <f t="shared" si="96"/>
        <v>9.0772624444682943</v>
      </c>
      <c r="G1374">
        <f t="shared" si="94"/>
        <v>0.11016537266799005</v>
      </c>
      <c r="H1374">
        <f t="shared" si="95"/>
        <v>-6787.2991876012293</v>
      </c>
    </row>
    <row r="1375" spans="1:8" x14ac:dyDescent="0.2">
      <c r="A1375" s="1">
        <v>42173</v>
      </c>
      <c r="B1375">
        <v>536.72997999999995</v>
      </c>
      <c r="C1375" s="2">
        <f t="shared" si="93"/>
        <v>1.4113989076937799E-2</v>
      </c>
      <c r="D1375">
        <v>5.715673593829897</v>
      </c>
      <c r="E1375" s="15">
        <v>0</v>
      </c>
      <c r="F1375">
        <f t="shared" si="96"/>
        <v>0.78221499938396855</v>
      </c>
      <c r="G1375">
        <f t="shared" si="94"/>
        <v>0</v>
      </c>
      <c r="H1375" t="e">
        <f t="shared" si="95"/>
        <v>#NUM!</v>
      </c>
    </row>
    <row r="1376" spans="1:8" x14ac:dyDescent="0.2">
      <c r="A1376" s="1">
        <v>42174</v>
      </c>
      <c r="B1376">
        <v>536.69000200000005</v>
      </c>
      <c r="C1376" s="2">
        <f t="shared" si="93"/>
        <v>-7.4484380395344198E-5</v>
      </c>
      <c r="D1376">
        <v>-1.0052773443417957</v>
      </c>
      <c r="E1376" s="15">
        <v>0</v>
      </c>
      <c r="F1376">
        <f t="shared" si="96"/>
        <v>6.9983084754085254E-2</v>
      </c>
      <c r="G1376">
        <f t="shared" si="94"/>
        <v>0</v>
      </c>
      <c r="H1376" t="e">
        <f t="shared" si="95"/>
        <v>#NUM!</v>
      </c>
    </row>
    <row r="1377" spans="1:8" x14ac:dyDescent="0.2">
      <c r="A1377" s="1">
        <v>42177</v>
      </c>
      <c r="B1377">
        <v>538.19000200000005</v>
      </c>
      <c r="C1377" s="2">
        <f t="shared" si="93"/>
        <v>2.7949095276792579E-3</v>
      </c>
      <c r="D1377">
        <v>-38.523431259608884</v>
      </c>
      <c r="E1377" s="15">
        <v>1</v>
      </c>
      <c r="F1377">
        <f t="shared" si="96"/>
        <v>8.9645070172258562E-3</v>
      </c>
      <c r="G1377">
        <f t="shared" si="94"/>
        <v>111.5510309801128</v>
      </c>
      <c r="H1377">
        <f t="shared" si="95"/>
        <v>-4.094947183432561</v>
      </c>
    </row>
    <row r="1378" spans="1:8" x14ac:dyDescent="0.2">
      <c r="A1378" s="1">
        <v>42178</v>
      </c>
      <c r="B1378">
        <v>540.47997999999995</v>
      </c>
      <c r="C1378" s="2">
        <f t="shared" si="93"/>
        <v>4.2549619864545628E-3</v>
      </c>
      <c r="D1378">
        <v>0.52239703801348225</v>
      </c>
      <c r="E1378" s="15">
        <v>0</v>
      </c>
      <c r="F1378">
        <f t="shared" si="96"/>
        <v>1615.64746858587</v>
      </c>
      <c r="G1378">
        <f t="shared" si="94"/>
        <v>0</v>
      </c>
      <c r="H1378" t="e">
        <f t="shared" si="95"/>
        <v>#NUM!</v>
      </c>
    </row>
    <row r="1379" spans="1:8" x14ac:dyDescent="0.2">
      <c r="A1379" s="1">
        <v>42179</v>
      </c>
      <c r="B1379">
        <v>537.84002699999996</v>
      </c>
      <c r="C1379" s="2">
        <f t="shared" si="93"/>
        <v>-4.8844602902775262E-3</v>
      </c>
      <c r="D1379">
        <v>-2.1479445188527975</v>
      </c>
      <c r="E1379" s="15">
        <v>0</v>
      </c>
      <c r="F1379">
        <f t="shared" si="96"/>
        <v>138.41927491861631</v>
      </c>
      <c r="G1379">
        <f t="shared" si="94"/>
        <v>0</v>
      </c>
      <c r="H1379" t="e">
        <f t="shared" si="95"/>
        <v>#NUM!</v>
      </c>
    </row>
    <row r="1380" spans="1:8" x14ac:dyDescent="0.2">
      <c r="A1380" s="1">
        <v>42180</v>
      </c>
      <c r="B1380">
        <v>535.22997999999995</v>
      </c>
      <c r="C1380" s="2">
        <f t="shared" si="93"/>
        <v>-4.8528314535429863E-3</v>
      </c>
      <c r="D1380">
        <v>-6.4754005263379386E-3</v>
      </c>
      <c r="E1380" s="15">
        <v>1</v>
      </c>
      <c r="F1380">
        <f t="shared" si="96"/>
        <v>11.86167265614707</v>
      </c>
      <c r="G1380">
        <f t="shared" si="94"/>
        <v>8.4305142199466318E-2</v>
      </c>
      <c r="H1380">
        <f t="shared" si="95"/>
        <v>-19794.138594578119</v>
      </c>
    </row>
    <row r="1381" spans="1:8" x14ac:dyDescent="0.2">
      <c r="A1381" s="1">
        <v>42181</v>
      </c>
      <c r="B1381">
        <v>531.69000200000005</v>
      </c>
      <c r="C1381" s="2">
        <f t="shared" si="93"/>
        <v>-6.6139381803685697E-3</v>
      </c>
      <c r="D1381">
        <v>0.36290292454723999</v>
      </c>
      <c r="E1381" s="15">
        <v>1</v>
      </c>
      <c r="F1381">
        <f t="shared" si="96"/>
        <v>1.0201089924251225</v>
      </c>
      <c r="G1381">
        <f t="shared" si="94"/>
        <v>0.98028740793930547</v>
      </c>
      <c r="H1381">
        <f t="shared" si="95"/>
        <v>-1.0656017367788706</v>
      </c>
    </row>
    <row r="1382" spans="1:8" x14ac:dyDescent="0.2">
      <c r="A1382" s="1">
        <v>42184</v>
      </c>
      <c r="B1382">
        <v>521.52002000000005</v>
      </c>
      <c r="C1382" s="2">
        <f t="shared" si="93"/>
        <v>-1.9127653259878308E-2</v>
      </c>
      <c r="D1382">
        <v>1.8920217785906788</v>
      </c>
      <c r="E1382" s="15">
        <v>0</v>
      </c>
      <c r="F1382">
        <f t="shared" si="96"/>
        <v>0.2151326119323537</v>
      </c>
      <c r="G1382">
        <f t="shared" si="94"/>
        <v>0</v>
      </c>
      <c r="H1382" t="e">
        <f t="shared" si="95"/>
        <v>#NUM!</v>
      </c>
    </row>
    <row r="1383" spans="1:8" x14ac:dyDescent="0.2">
      <c r="A1383" s="1">
        <v>42185</v>
      </c>
      <c r="B1383">
        <v>520.51000999999997</v>
      </c>
      <c r="C1383" s="2">
        <f t="shared" si="93"/>
        <v>-1.9366658254079665E-3</v>
      </c>
      <c r="D1383">
        <v>-0.89875047403382891</v>
      </c>
      <c r="E1383" s="15">
        <v>0</v>
      </c>
      <c r="F1383">
        <f t="shared" si="96"/>
        <v>2.1399807269388907E-2</v>
      </c>
      <c r="G1383">
        <f t="shared" si="94"/>
        <v>0</v>
      </c>
      <c r="H1383" t="e">
        <f t="shared" si="95"/>
        <v>#NUM!</v>
      </c>
    </row>
    <row r="1384" spans="1:8" x14ac:dyDescent="0.2">
      <c r="A1384" s="1">
        <v>42186</v>
      </c>
      <c r="B1384">
        <v>521.84002699999996</v>
      </c>
      <c r="C1384" s="2">
        <f t="shared" si="93"/>
        <v>2.5552188708147959E-3</v>
      </c>
      <c r="D1384">
        <v>-2.3193906957471762</v>
      </c>
      <c r="E1384" s="15">
        <v>1</v>
      </c>
      <c r="F1384">
        <f t="shared" si="96"/>
        <v>4.8022637464341083E-3</v>
      </c>
      <c r="G1384">
        <f t="shared" si="94"/>
        <v>208.23512676548512</v>
      </c>
      <c r="H1384">
        <f t="shared" si="95"/>
        <v>-4.6371079837689368</v>
      </c>
    </row>
    <row r="1385" spans="1:8" x14ac:dyDescent="0.2">
      <c r="A1385" s="1">
        <v>42187</v>
      </c>
      <c r="B1385">
        <v>523.40002400000003</v>
      </c>
      <c r="C1385" s="2">
        <f t="shared" si="93"/>
        <v>2.9894161415104838E-3</v>
      </c>
      <c r="D1385">
        <v>0.16992566689883332</v>
      </c>
      <c r="E1385" s="15">
        <v>0</v>
      </c>
      <c r="F1385">
        <f t="shared" si="96"/>
        <v>5629.9776010559472</v>
      </c>
      <c r="G1385">
        <f t="shared" si="94"/>
        <v>0</v>
      </c>
      <c r="H1385" t="e">
        <f t="shared" si="95"/>
        <v>#NUM!</v>
      </c>
    </row>
    <row r="1386" spans="1:8" x14ac:dyDescent="0.2">
      <c r="A1386" s="1">
        <v>42191</v>
      </c>
      <c r="B1386">
        <v>522.85998500000005</v>
      </c>
      <c r="C1386" s="2">
        <f t="shared" si="93"/>
        <v>-1.0317901704948696E-3</v>
      </c>
      <c r="D1386">
        <v>-1.3451477217131536</v>
      </c>
      <c r="E1386" s="15">
        <v>0</v>
      </c>
      <c r="F1386">
        <f t="shared" si="96"/>
        <v>482.33634774008891</v>
      </c>
      <c r="G1386">
        <f t="shared" si="94"/>
        <v>0</v>
      </c>
      <c r="H1386" t="e">
        <f t="shared" si="95"/>
        <v>#NUM!</v>
      </c>
    </row>
    <row r="1387" spans="1:8" x14ac:dyDescent="0.2">
      <c r="A1387" s="1">
        <v>42192</v>
      </c>
      <c r="B1387">
        <v>525.02002000000005</v>
      </c>
      <c r="C1387" s="2">
        <f t="shared" si="93"/>
        <v>4.1311920245723013E-3</v>
      </c>
      <c r="D1387">
        <v>-5.0039071341326009</v>
      </c>
      <c r="E1387" s="15">
        <v>0</v>
      </c>
      <c r="F1387">
        <f t="shared" si="96"/>
        <v>41.325854493456823</v>
      </c>
      <c r="G1387">
        <f t="shared" si="94"/>
        <v>0</v>
      </c>
      <c r="H1387" t="e">
        <f t="shared" si="95"/>
        <v>#NUM!</v>
      </c>
    </row>
    <row r="1388" spans="1:8" x14ac:dyDescent="0.2">
      <c r="A1388" s="1">
        <v>42193</v>
      </c>
      <c r="B1388">
        <v>516.830017</v>
      </c>
      <c r="C1388" s="2">
        <f t="shared" si="93"/>
        <v>-1.5599410856751799E-2</v>
      </c>
      <c r="D1388">
        <v>-4.7760072066286465</v>
      </c>
      <c r="E1388" s="15">
        <v>0</v>
      </c>
      <c r="F1388">
        <f t="shared" si="96"/>
        <v>3.5434517224096669</v>
      </c>
      <c r="G1388">
        <f t="shared" si="94"/>
        <v>0</v>
      </c>
      <c r="H1388" t="e">
        <f t="shared" si="95"/>
        <v>#NUM!</v>
      </c>
    </row>
    <row r="1389" spans="1:8" x14ac:dyDescent="0.2">
      <c r="A1389" s="1">
        <v>42194</v>
      </c>
      <c r="B1389">
        <v>520.67999299999997</v>
      </c>
      <c r="C1389" s="2">
        <f t="shared" si="93"/>
        <v>7.4492112945521308E-3</v>
      </c>
      <c r="D1389">
        <v>-1.4775315787857419</v>
      </c>
      <c r="E1389" s="15">
        <v>1</v>
      </c>
      <c r="F1389">
        <f t="shared" si="96"/>
        <v>0.30654470769311049</v>
      </c>
      <c r="G1389">
        <f t="shared" si="94"/>
        <v>3.2621669038929384</v>
      </c>
      <c r="H1389">
        <f t="shared" si="95"/>
        <v>-1.0358426511910672</v>
      </c>
    </row>
    <row r="1390" spans="1:8" x14ac:dyDescent="0.2">
      <c r="A1390" s="1">
        <v>42195</v>
      </c>
      <c r="B1390">
        <v>530.13000499999998</v>
      </c>
      <c r="C1390" s="2">
        <f t="shared" si="93"/>
        <v>1.8149366457412577E-2</v>
      </c>
      <c r="D1390">
        <v>1.4364145061485696</v>
      </c>
      <c r="E1390" s="15">
        <v>1</v>
      </c>
      <c r="F1390">
        <f t="shared" si="96"/>
        <v>1.4109218150972376</v>
      </c>
      <c r="G1390">
        <f t="shared" si="94"/>
        <v>0.70875649472545876</v>
      </c>
      <c r="H1390">
        <f t="shared" si="95"/>
        <v>-3.6638820596152168</v>
      </c>
    </row>
    <row r="1391" spans="1:8" x14ac:dyDescent="0.2">
      <c r="A1391" s="1">
        <v>42198</v>
      </c>
      <c r="B1391">
        <v>546.54998799999998</v>
      </c>
      <c r="C1391" s="2">
        <f t="shared" si="93"/>
        <v>3.0973502433615321E-2</v>
      </c>
      <c r="D1391">
        <v>0.70658862976261638</v>
      </c>
      <c r="E1391" s="15">
        <v>0</v>
      </c>
      <c r="F1391">
        <f t="shared" si="96"/>
        <v>0.18906763330102055</v>
      </c>
      <c r="G1391">
        <f t="shared" si="94"/>
        <v>0</v>
      </c>
      <c r="H1391" t="e">
        <f t="shared" si="95"/>
        <v>#NUM!</v>
      </c>
    </row>
    <row r="1392" spans="1:8" x14ac:dyDescent="0.2">
      <c r="A1392" s="1">
        <v>42199</v>
      </c>
      <c r="B1392">
        <v>561.09997599999997</v>
      </c>
      <c r="C1392" s="2">
        <f t="shared" si="93"/>
        <v>2.6621513712301068E-2</v>
      </c>
      <c r="D1392">
        <v>-0.14050683259478819</v>
      </c>
      <c r="E1392" s="15">
        <v>0</v>
      </c>
      <c r="F1392">
        <f t="shared" si="96"/>
        <v>1.9166759448649127E-2</v>
      </c>
      <c r="G1392">
        <f t="shared" si="94"/>
        <v>0</v>
      </c>
      <c r="H1392" t="e">
        <f t="shared" si="95"/>
        <v>#NUM!</v>
      </c>
    </row>
    <row r="1393" spans="1:8" x14ac:dyDescent="0.2">
      <c r="A1393" s="1">
        <v>42200</v>
      </c>
      <c r="B1393">
        <v>560.21997099999999</v>
      </c>
      <c r="C1393" s="2">
        <f t="shared" si="93"/>
        <v>-1.56835686622803E-3</v>
      </c>
      <c r="D1393">
        <v>-1.0589131363143838</v>
      </c>
      <c r="E1393" s="15">
        <v>0</v>
      </c>
      <c r="F1393">
        <f t="shared" si="96"/>
        <v>4.6109533049317197E-3</v>
      </c>
      <c r="G1393">
        <f t="shared" si="94"/>
        <v>0</v>
      </c>
      <c r="H1393" t="e">
        <f t="shared" si="95"/>
        <v>#NUM!</v>
      </c>
    </row>
    <row r="1394" spans="1:8" x14ac:dyDescent="0.2">
      <c r="A1394" s="1">
        <v>42201</v>
      </c>
      <c r="B1394">
        <v>579.84997599999997</v>
      </c>
      <c r="C1394" s="2">
        <f t="shared" si="93"/>
        <v>3.503981652949674E-2</v>
      </c>
      <c r="D1394">
        <v>-23.341736937568999</v>
      </c>
      <c r="E1394" s="15">
        <v>1</v>
      </c>
      <c r="F1394">
        <f t="shared" si="96"/>
        <v>3.3639232709509717E-3</v>
      </c>
      <c r="G1394">
        <f t="shared" si="94"/>
        <v>297.27194096115716</v>
      </c>
      <c r="H1394">
        <f t="shared" si="95"/>
        <v>-4.9463078376376757</v>
      </c>
    </row>
    <row r="1395" spans="1:8" x14ac:dyDescent="0.2">
      <c r="A1395" s="1">
        <v>42202</v>
      </c>
      <c r="B1395">
        <v>672.92999299999997</v>
      </c>
      <c r="C1395" s="2">
        <f t="shared" si="93"/>
        <v>0.16052430948104413</v>
      </c>
      <c r="D1395">
        <v>3.5811972030707908</v>
      </c>
      <c r="E1395" s="15">
        <v>0</v>
      </c>
      <c r="F1395">
        <f t="shared" si="96"/>
        <v>11473.776444238529</v>
      </c>
      <c r="G1395">
        <f t="shared" si="94"/>
        <v>0</v>
      </c>
      <c r="H1395" t="e">
        <f t="shared" si="95"/>
        <v>#NUM!</v>
      </c>
    </row>
    <row r="1396" spans="1:8" x14ac:dyDescent="0.2">
      <c r="A1396" s="1">
        <v>42205</v>
      </c>
      <c r="B1396">
        <v>663.02002000000005</v>
      </c>
      <c r="C1396" s="2">
        <f t="shared" si="93"/>
        <v>-1.472660321740173E-2</v>
      </c>
      <c r="D1396">
        <v>-1.0917406420560916</v>
      </c>
      <c r="E1396" s="15">
        <v>0</v>
      </c>
      <c r="F1396">
        <f t="shared" si="96"/>
        <v>982.98829363976824</v>
      </c>
      <c r="G1396">
        <f t="shared" si="94"/>
        <v>0</v>
      </c>
      <c r="H1396" t="e">
        <f t="shared" si="95"/>
        <v>#NUM!</v>
      </c>
    </row>
    <row r="1397" spans="1:8" x14ac:dyDescent="0.2">
      <c r="A1397" s="1">
        <v>42206</v>
      </c>
      <c r="B1397">
        <v>662.29998799999998</v>
      </c>
      <c r="C1397" s="2">
        <f t="shared" si="93"/>
        <v>-1.0859883235502603E-3</v>
      </c>
      <c r="D1397">
        <v>-0.92625669969385749</v>
      </c>
      <c r="E1397" s="15">
        <v>0</v>
      </c>
      <c r="F1397">
        <f t="shared" si="96"/>
        <v>84.217880324487666</v>
      </c>
      <c r="G1397">
        <f t="shared" si="94"/>
        <v>0</v>
      </c>
      <c r="H1397" t="e">
        <f t="shared" si="95"/>
        <v>#NUM!</v>
      </c>
    </row>
    <row r="1398" spans="1:8" x14ac:dyDescent="0.2">
      <c r="A1398" s="1">
        <v>42207</v>
      </c>
      <c r="B1398">
        <v>662.09997599999997</v>
      </c>
      <c r="C1398" s="2">
        <f t="shared" si="93"/>
        <v>-3.0199607975836952E-4</v>
      </c>
      <c r="D1398">
        <v>-0.72191590534684702</v>
      </c>
      <c r="E1398" s="15">
        <v>1</v>
      </c>
      <c r="F1398">
        <f t="shared" si="96"/>
        <v>7.2181121226280274</v>
      </c>
      <c r="G1398">
        <f t="shared" si="94"/>
        <v>0.13854038050546547</v>
      </c>
      <c r="H1398">
        <f t="shared" si="95"/>
        <v>-2712.8122145230341</v>
      </c>
    </row>
    <row r="1399" spans="1:8" x14ac:dyDescent="0.2">
      <c r="A1399" s="1">
        <v>42208</v>
      </c>
      <c r="B1399">
        <v>644.28002900000001</v>
      </c>
      <c r="C1399" s="2">
        <f t="shared" si="93"/>
        <v>-2.6914284316482073E-2</v>
      </c>
      <c r="D1399">
        <v>88.121303620949305</v>
      </c>
      <c r="E1399" s="15">
        <v>1</v>
      </c>
      <c r="F1399">
        <f t="shared" si="96"/>
        <v>0.62385349630215459</v>
      </c>
      <c r="G1399">
        <f t="shared" si="94"/>
        <v>1.6029404434333157</v>
      </c>
      <c r="H1399">
        <f t="shared" si="95"/>
        <v>-0.56130610838875883</v>
      </c>
    </row>
    <row r="1400" spans="1:8" x14ac:dyDescent="0.2">
      <c r="A1400" s="1">
        <v>42209</v>
      </c>
      <c r="B1400">
        <v>623.55999799999995</v>
      </c>
      <c r="C1400" s="2">
        <f t="shared" si="93"/>
        <v>-3.2159977133173041E-2</v>
      </c>
      <c r="D1400">
        <v>0.19490367103978876</v>
      </c>
      <c r="E1400" s="15">
        <v>0</v>
      </c>
      <c r="F1400">
        <f t="shared" si="96"/>
        <v>0.3900213791253202</v>
      </c>
      <c r="G1400">
        <f t="shared" si="94"/>
        <v>0</v>
      </c>
      <c r="H1400" t="e">
        <f t="shared" si="95"/>
        <v>#NUM!</v>
      </c>
    </row>
    <row r="1401" spans="1:8" x14ac:dyDescent="0.2">
      <c r="A1401" s="1">
        <v>42212</v>
      </c>
      <c r="B1401">
        <v>627.26000999999997</v>
      </c>
      <c r="C1401" s="2">
        <f t="shared" si="93"/>
        <v>5.9336904417656624E-3</v>
      </c>
      <c r="D1401">
        <v>-1.1845054309956289</v>
      </c>
      <c r="E1401" s="15">
        <v>0</v>
      </c>
      <c r="F1401">
        <f t="shared" si="96"/>
        <v>3.638293792818989E-2</v>
      </c>
      <c r="G1401">
        <f t="shared" si="94"/>
        <v>0</v>
      </c>
      <c r="H1401" t="e">
        <f t="shared" si="95"/>
        <v>#NUM!</v>
      </c>
    </row>
    <row r="1402" spans="1:8" x14ac:dyDescent="0.2">
      <c r="A1402" s="1">
        <v>42213</v>
      </c>
      <c r="B1402">
        <v>628</v>
      </c>
      <c r="C1402" s="2">
        <f t="shared" si="93"/>
        <v>1.1797181204011944E-3</v>
      </c>
      <c r="D1402">
        <v>-0.80118306946087492</v>
      </c>
      <c r="E1402" s="15">
        <v>1</v>
      </c>
      <c r="F1402">
        <f t="shared" si="96"/>
        <v>6.0859036733540723E-3</v>
      </c>
      <c r="G1402">
        <f t="shared" si="94"/>
        <v>164.31413536469572</v>
      </c>
      <c r="H1402">
        <f t="shared" si="95"/>
        <v>-4.4313498530967923</v>
      </c>
    </row>
    <row r="1403" spans="1:8" x14ac:dyDescent="0.2">
      <c r="A1403" s="1">
        <v>42214</v>
      </c>
      <c r="B1403">
        <v>631.92999299999997</v>
      </c>
      <c r="C1403" s="2">
        <f t="shared" si="93"/>
        <v>6.2579506369426236E-3</v>
      </c>
      <c r="D1403">
        <v>4.3046151692697929</v>
      </c>
      <c r="E1403" s="15">
        <v>0</v>
      </c>
      <c r="F1403">
        <f t="shared" si="96"/>
        <v>3505.4897949730221</v>
      </c>
      <c r="G1403">
        <f t="shared" si="94"/>
        <v>0</v>
      </c>
      <c r="H1403" t="e">
        <f t="shared" si="95"/>
        <v>#NUM!</v>
      </c>
    </row>
    <row r="1404" spans="1:8" x14ac:dyDescent="0.2">
      <c r="A1404" s="1">
        <v>42215</v>
      </c>
      <c r="B1404">
        <v>632.59002699999996</v>
      </c>
      <c r="C1404" s="2">
        <f t="shared" si="93"/>
        <v>1.0444732918381927E-3</v>
      </c>
      <c r="D1404">
        <v>-0.83309659145082693</v>
      </c>
      <c r="E1404" s="15">
        <v>0</v>
      </c>
      <c r="F1404">
        <f t="shared" si="96"/>
        <v>300.32649717920003</v>
      </c>
      <c r="G1404">
        <f t="shared" si="94"/>
        <v>0</v>
      </c>
      <c r="H1404" t="e">
        <f t="shared" si="95"/>
        <v>#NUM!</v>
      </c>
    </row>
    <row r="1405" spans="1:8" x14ac:dyDescent="0.2">
      <c r="A1405" s="1">
        <v>42216</v>
      </c>
      <c r="B1405">
        <v>625.60998500000005</v>
      </c>
      <c r="C1405" s="2">
        <f t="shared" si="93"/>
        <v>-1.1034068989519356E-2</v>
      </c>
      <c r="D1405">
        <v>-11.564242356164266</v>
      </c>
      <c r="E1405" s="15">
        <v>0</v>
      </c>
      <c r="F1405">
        <f t="shared" si="96"/>
        <v>25.732643929317661</v>
      </c>
      <c r="G1405">
        <f t="shared" si="94"/>
        <v>0</v>
      </c>
      <c r="H1405" t="e">
        <f t="shared" si="95"/>
        <v>#NUM!</v>
      </c>
    </row>
    <row r="1406" spans="1:8" x14ac:dyDescent="0.2">
      <c r="A1406" s="1">
        <v>42219</v>
      </c>
      <c r="B1406">
        <v>631.21002199999998</v>
      </c>
      <c r="C1406" s="2">
        <f t="shared" si="93"/>
        <v>8.9513229236581459E-3</v>
      </c>
      <c r="D1406">
        <v>-1.8112440598441524</v>
      </c>
      <c r="E1406" s="15">
        <v>0</v>
      </c>
      <c r="F1406">
        <f t="shared" si="96"/>
        <v>2.2075448198530969</v>
      </c>
      <c r="G1406">
        <f t="shared" si="94"/>
        <v>0</v>
      </c>
      <c r="H1406" t="e">
        <f t="shared" si="95"/>
        <v>#NUM!</v>
      </c>
    </row>
    <row r="1407" spans="1:8" x14ac:dyDescent="0.2">
      <c r="A1407" s="1">
        <v>42220</v>
      </c>
      <c r="B1407">
        <v>629.25</v>
      </c>
      <c r="C1407" s="2">
        <f t="shared" si="93"/>
        <v>-3.1051820023224866E-3</v>
      </c>
      <c r="D1407">
        <v>-1.3468964340584295</v>
      </c>
      <c r="E1407" s="15">
        <v>0</v>
      </c>
      <c r="F1407">
        <f t="shared" si="96"/>
        <v>0.19209443172476234</v>
      </c>
      <c r="G1407">
        <f t="shared" si="94"/>
        <v>0</v>
      </c>
      <c r="H1407" t="e">
        <f t="shared" si="95"/>
        <v>#NUM!</v>
      </c>
    </row>
    <row r="1408" spans="1:8" x14ac:dyDescent="0.2">
      <c r="A1408" s="1">
        <v>42221</v>
      </c>
      <c r="B1408">
        <v>643.78002900000001</v>
      </c>
      <c r="C1408" s="2">
        <f t="shared" si="93"/>
        <v>2.3091027413587626E-2</v>
      </c>
      <c r="D1408">
        <v>-8.4362879201016074</v>
      </c>
      <c r="E1408" s="15">
        <v>0</v>
      </c>
      <c r="F1408">
        <f t="shared" si="96"/>
        <v>1.9426072365016922E-2</v>
      </c>
      <c r="G1408">
        <f t="shared" si="94"/>
        <v>0</v>
      </c>
      <c r="H1408" t="e">
        <f t="shared" si="95"/>
        <v>#NUM!</v>
      </c>
    </row>
    <row r="1409" spans="1:8" x14ac:dyDescent="0.2">
      <c r="A1409" s="1">
        <v>42222</v>
      </c>
      <c r="B1409">
        <v>642.67999299999997</v>
      </c>
      <c r="C1409" s="2">
        <f t="shared" si="93"/>
        <v>-1.7087140800387355E-3</v>
      </c>
      <c r="D1409">
        <v>-1.0739990494763894</v>
      </c>
      <c r="E1409" s="15">
        <v>1</v>
      </c>
      <c r="F1409">
        <f t="shared" si="96"/>
        <v>4.6331692503569985E-3</v>
      </c>
      <c r="G1409">
        <f t="shared" si="94"/>
        <v>215.83498162147805</v>
      </c>
      <c r="H1409">
        <f t="shared" si="95"/>
        <v>-4.6682436697917993</v>
      </c>
    </row>
    <row r="1410" spans="1:8" x14ac:dyDescent="0.2">
      <c r="A1410" s="1">
        <v>42223</v>
      </c>
      <c r="B1410">
        <v>635.29998799999998</v>
      </c>
      <c r="C1410" s="2">
        <f t="shared" si="93"/>
        <v>-1.1483172154699366E-2</v>
      </c>
      <c r="D1410">
        <v>5.7203590634888721</v>
      </c>
      <c r="E1410" s="15">
        <v>0</v>
      </c>
      <c r="F1410">
        <f t="shared" si="96"/>
        <v>6048.4254766143504</v>
      </c>
      <c r="G1410">
        <f t="shared" si="94"/>
        <v>0</v>
      </c>
      <c r="H1410" t="e">
        <f t="shared" si="95"/>
        <v>#NUM!</v>
      </c>
    </row>
    <row r="1411" spans="1:8" x14ac:dyDescent="0.2">
      <c r="A1411" s="1">
        <v>42226</v>
      </c>
      <c r="B1411">
        <v>633.72997999999995</v>
      </c>
      <c r="C1411" s="2">
        <f t="shared" si="93"/>
        <v>-2.4712860532905122E-3</v>
      </c>
      <c r="D1411">
        <v>-0.78479064669607301</v>
      </c>
      <c r="E1411" s="15">
        <v>0</v>
      </c>
      <c r="F1411">
        <f t="shared" si="96"/>
        <v>518.1857581626092</v>
      </c>
      <c r="G1411">
        <f t="shared" si="94"/>
        <v>0</v>
      </c>
      <c r="H1411" t="e">
        <f t="shared" si="95"/>
        <v>#NUM!</v>
      </c>
    </row>
    <row r="1412" spans="1:8" x14ac:dyDescent="0.2">
      <c r="A1412" s="1">
        <v>42227</v>
      </c>
      <c r="B1412">
        <v>660.78002900000001</v>
      </c>
      <c r="C1412" s="2">
        <f t="shared" ref="C1412:C1475" si="97">(B1412-B1411)/B1411</f>
        <v>4.2683871449477676E-2</v>
      </c>
      <c r="D1412">
        <v>-18.27192665237769</v>
      </c>
      <c r="E1412" s="15">
        <v>0</v>
      </c>
      <c r="F1412">
        <f t="shared" si="96"/>
        <v>44.397157522364019</v>
      </c>
      <c r="G1412">
        <f t="shared" si="94"/>
        <v>0</v>
      </c>
      <c r="H1412" t="e">
        <f t="shared" si="95"/>
        <v>#NUM!</v>
      </c>
    </row>
    <row r="1413" spans="1:8" x14ac:dyDescent="0.2">
      <c r="A1413" s="1">
        <v>42228</v>
      </c>
      <c r="B1413">
        <v>659.55999799999995</v>
      </c>
      <c r="C1413" s="2">
        <f t="shared" si="97"/>
        <v>-1.846349687423835E-3</v>
      </c>
      <c r="D1413">
        <v>-1.0432563782226092</v>
      </c>
      <c r="E1413" s="15">
        <v>1</v>
      </c>
      <c r="F1413">
        <f t="shared" si="96"/>
        <v>3.8065774526294542</v>
      </c>
      <c r="G1413">
        <f t="shared" si="94"/>
        <v>0.26270317954761013</v>
      </c>
      <c r="H1413">
        <f t="shared" si="95"/>
        <v>-208.79995520443859</v>
      </c>
    </row>
    <row r="1414" spans="1:8" x14ac:dyDescent="0.2">
      <c r="A1414" s="1">
        <v>42229</v>
      </c>
      <c r="B1414">
        <v>656.45001200000002</v>
      </c>
      <c r="C1414" s="2">
        <f t="shared" si="97"/>
        <v>-4.7152435099618271E-3</v>
      </c>
      <c r="D1414">
        <v>1.5538193236520039</v>
      </c>
      <c r="E1414" s="15">
        <v>0</v>
      </c>
      <c r="F1414">
        <f t="shared" si="96"/>
        <v>0.33804774056306303</v>
      </c>
      <c r="G1414">
        <f t="shared" si="94"/>
        <v>0</v>
      </c>
      <c r="H1414" t="e">
        <f t="shared" si="95"/>
        <v>#NUM!</v>
      </c>
    </row>
    <row r="1415" spans="1:8" x14ac:dyDescent="0.2">
      <c r="A1415" s="1">
        <v>42230</v>
      </c>
      <c r="B1415">
        <v>657.11999500000002</v>
      </c>
      <c r="C1415" s="2">
        <f t="shared" si="97"/>
        <v>1.0206154128305537E-3</v>
      </c>
      <c r="D1415">
        <v>-1.2164502025556716</v>
      </c>
      <c r="E1415" s="15">
        <v>1</v>
      </c>
      <c r="F1415">
        <f t="shared" si="96"/>
        <v>3.1930234476215909E-2</v>
      </c>
      <c r="G1415">
        <f t="shared" si="94"/>
        <v>31.318279254882292</v>
      </c>
      <c r="H1415">
        <f t="shared" si="95"/>
        <v>-2.9915968239703368</v>
      </c>
    </row>
    <row r="1416" spans="1:8" x14ac:dyDescent="0.2">
      <c r="A1416" s="1">
        <v>42233</v>
      </c>
      <c r="B1416">
        <v>660.86999500000002</v>
      </c>
      <c r="C1416" s="2">
        <f t="shared" si="97"/>
        <v>5.706720277169469E-3</v>
      </c>
      <c r="D1416">
        <v>4.5914502225109155</v>
      </c>
      <c r="E1416" s="15">
        <v>0</v>
      </c>
      <c r="F1416">
        <f t="shared" si="96"/>
        <v>127.3543139867635</v>
      </c>
      <c r="G1416">
        <f t="shared" ref="G1416:G1479" si="98">E1416/F1416</f>
        <v>0</v>
      </c>
      <c r="H1416" t="e">
        <f t="shared" ref="H1416:H1479" si="99">-LOG(G1416^2)-(F1416^2)/(G1416^2)</f>
        <v>#NUM!</v>
      </c>
    </row>
    <row r="1417" spans="1:8" x14ac:dyDescent="0.2">
      <c r="A1417" s="1">
        <v>42234</v>
      </c>
      <c r="B1417">
        <v>656.13000499999998</v>
      </c>
      <c r="C1417" s="2">
        <f t="shared" si="97"/>
        <v>-7.1723486250878047E-3</v>
      </c>
      <c r="D1417">
        <v>-2.2568249847082549</v>
      </c>
      <c r="E1417" s="15">
        <v>0</v>
      </c>
      <c r="F1417">
        <f t="shared" ref="F1417:F1480" si="100" xml:space="preserve"> $K$5 + $K$6 * G1416 ^ 2 + $K$7 * F1416</f>
        <v>10.913711514688773</v>
      </c>
      <c r="G1417">
        <f t="shared" si="98"/>
        <v>0</v>
      </c>
      <c r="H1417" t="e">
        <f t="shared" si="99"/>
        <v>#NUM!</v>
      </c>
    </row>
    <row r="1418" spans="1:8" x14ac:dyDescent="0.2">
      <c r="A1418" s="1">
        <v>42235</v>
      </c>
      <c r="B1418">
        <v>660.90002400000003</v>
      </c>
      <c r="C1418" s="2">
        <f t="shared" si="97"/>
        <v>7.269929684133326E-3</v>
      </c>
      <c r="D1418">
        <v>-2.0136051751171431</v>
      </c>
      <c r="E1418" s="15">
        <v>0</v>
      </c>
      <c r="F1418">
        <f t="shared" si="100"/>
        <v>0.93797214142406538</v>
      </c>
      <c r="G1418">
        <f t="shared" si="98"/>
        <v>0</v>
      </c>
      <c r="H1418" t="e">
        <f t="shared" si="99"/>
        <v>#NUM!</v>
      </c>
    </row>
    <row r="1419" spans="1:8" x14ac:dyDescent="0.2">
      <c r="A1419" s="1">
        <v>42236</v>
      </c>
      <c r="B1419">
        <v>646.830017</v>
      </c>
      <c r="C1419" s="2">
        <f t="shared" si="97"/>
        <v>-2.1289160976032936E-2</v>
      </c>
      <c r="D1419">
        <v>-3.9283860918898132</v>
      </c>
      <c r="E1419" s="15">
        <v>1</v>
      </c>
      <c r="F1419">
        <f t="shared" si="100"/>
        <v>8.3327164237779222E-2</v>
      </c>
      <c r="G1419">
        <f t="shared" si="98"/>
        <v>12.000888415528436</v>
      </c>
      <c r="H1419">
        <f t="shared" si="99"/>
        <v>-2.1584750064051312</v>
      </c>
    </row>
    <row r="1420" spans="1:8" x14ac:dyDescent="0.2">
      <c r="A1420" s="1">
        <v>42237</v>
      </c>
      <c r="B1420">
        <v>612.47997999999995</v>
      </c>
      <c r="C1420" s="2">
        <f t="shared" si="97"/>
        <v>-5.3105199352552687E-2</v>
      </c>
      <c r="D1420">
        <v>1.4944712199948997</v>
      </c>
      <c r="E1420" s="15">
        <v>0</v>
      </c>
      <c r="F1420">
        <f t="shared" si="100"/>
        <v>18.709402092498493</v>
      </c>
      <c r="G1420">
        <f t="shared" si="98"/>
        <v>0</v>
      </c>
      <c r="H1420" t="e">
        <f t="shared" si="99"/>
        <v>#NUM!</v>
      </c>
    </row>
    <row r="1421" spans="1:8" x14ac:dyDescent="0.2">
      <c r="A1421" s="1">
        <v>42240</v>
      </c>
      <c r="B1421">
        <v>589.60998500000005</v>
      </c>
      <c r="C1421" s="2">
        <f t="shared" si="97"/>
        <v>-3.7339987831112302E-2</v>
      </c>
      <c r="D1421">
        <v>-0.29686757066438874</v>
      </c>
      <c r="E1421" s="15">
        <v>0</v>
      </c>
      <c r="F1421">
        <f t="shared" si="100"/>
        <v>1.6058472278441629</v>
      </c>
      <c r="G1421">
        <f t="shared" si="98"/>
        <v>0</v>
      </c>
      <c r="H1421" t="e">
        <f t="shared" si="99"/>
        <v>#NUM!</v>
      </c>
    </row>
    <row r="1422" spans="1:8" x14ac:dyDescent="0.2">
      <c r="A1422" s="1">
        <v>42241</v>
      </c>
      <c r="B1422">
        <v>582.05999799999995</v>
      </c>
      <c r="C1422" s="2">
        <f t="shared" si="97"/>
        <v>-1.2805052818093134E-2</v>
      </c>
      <c r="D1422">
        <v>-0.65706863976469354</v>
      </c>
      <c r="E1422" s="15">
        <v>0</v>
      </c>
      <c r="F1422">
        <f t="shared" si="100"/>
        <v>0.14054558852084986</v>
      </c>
      <c r="G1422">
        <f t="shared" si="98"/>
        <v>0</v>
      </c>
      <c r="H1422" t="e">
        <f t="shared" si="99"/>
        <v>#NUM!</v>
      </c>
    </row>
    <row r="1423" spans="1:8" x14ac:dyDescent="0.2">
      <c r="A1423" s="1">
        <v>42242</v>
      </c>
      <c r="B1423">
        <v>628.61999500000002</v>
      </c>
      <c r="C1423" s="2">
        <f t="shared" si="97"/>
        <v>7.9991748548231392E-2</v>
      </c>
      <c r="D1423">
        <v>-7.246889386914952</v>
      </c>
      <c r="E1423" s="15">
        <v>0</v>
      </c>
      <c r="F1423">
        <f t="shared" si="100"/>
        <v>1.5009762127195493E-2</v>
      </c>
      <c r="G1423">
        <f t="shared" si="98"/>
        <v>0</v>
      </c>
      <c r="H1423" t="e">
        <f t="shared" si="99"/>
        <v>#NUM!</v>
      </c>
    </row>
    <row r="1424" spans="1:8" x14ac:dyDescent="0.2">
      <c r="A1424" s="1">
        <v>42243</v>
      </c>
      <c r="B1424">
        <v>637.60998500000005</v>
      </c>
      <c r="C1424" s="2">
        <f t="shared" si="97"/>
        <v>1.4301151842934991E-2</v>
      </c>
      <c r="D1424">
        <v>-0.8212171617387255</v>
      </c>
      <c r="E1424" s="15">
        <v>0</v>
      </c>
      <c r="F1424">
        <f t="shared" si="100"/>
        <v>4.2548135995903093E-3</v>
      </c>
      <c r="G1424">
        <f t="shared" si="98"/>
        <v>0</v>
      </c>
      <c r="H1424" t="e">
        <f t="shared" si="99"/>
        <v>#NUM!</v>
      </c>
    </row>
    <row r="1425" spans="1:8" x14ac:dyDescent="0.2">
      <c r="A1425" s="1">
        <v>42244</v>
      </c>
      <c r="B1425">
        <v>630.38000499999998</v>
      </c>
      <c r="C1425" s="2">
        <f t="shared" si="97"/>
        <v>-1.133918879893336E-2</v>
      </c>
      <c r="D1425">
        <v>-1.7928863998835947</v>
      </c>
      <c r="E1425" s="15">
        <v>1</v>
      </c>
      <c r="F1425">
        <f t="shared" si="100"/>
        <v>3.3334119475334446E-3</v>
      </c>
      <c r="G1425">
        <f t="shared" si="98"/>
        <v>299.99292488885123</v>
      </c>
      <c r="H1425">
        <f t="shared" si="99"/>
        <v>-4.9542220247763673</v>
      </c>
    </row>
    <row r="1426" spans="1:8" x14ac:dyDescent="0.2">
      <c r="A1426" s="1">
        <v>42247</v>
      </c>
      <c r="B1426">
        <v>618.25</v>
      </c>
      <c r="C1426" s="2">
        <f t="shared" si="97"/>
        <v>-1.924236952915406E-2</v>
      </c>
      <c r="D1426">
        <v>0.6969793757172581</v>
      </c>
      <c r="E1426" s="15">
        <v>1</v>
      </c>
      <c r="F1426">
        <f t="shared" si="100"/>
        <v>11684.780771673069</v>
      </c>
      <c r="G1426">
        <f t="shared" si="98"/>
        <v>8.5581408803514619E-5</v>
      </c>
      <c r="H1426">
        <f t="shared" si="99"/>
        <v>-1.864156092212728E+16</v>
      </c>
    </row>
    <row r="1427" spans="1:8" x14ac:dyDescent="0.2">
      <c r="A1427" s="1">
        <v>42248</v>
      </c>
      <c r="B1427">
        <v>597.78997800000002</v>
      </c>
      <c r="C1427" s="2">
        <f t="shared" si="97"/>
        <v>-3.3093444399514726E-2</v>
      </c>
      <c r="D1427">
        <v>0.71982168564920979</v>
      </c>
      <c r="E1427" s="15">
        <v>0</v>
      </c>
      <c r="F1427">
        <f t="shared" si="100"/>
        <v>1001.0655290073329</v>
      </c>
      <c r="G1427">
        <f t="shared" si="98"/>
        <v>0</v>
      </c>
      <c r="H1427" t="e">
        <f t="shared" si="99"/>
        <v>#NUM!</v>
      </c>
    </row>
    <row r="1428" spans="1:8" x14ac:dyDescent="0.2">
      <c r="A1428" s="1">
        <v>42249</v>
      </c>
      <c r="B1428">
        <v>614.34002699999996</v>
      </c>
      <c r="C1428" s="2">
        <f t="shared" si="97"/>
        <v>2.7685390536941964E-2</v>
      </c>
      <c r="D1428">
        <v>-1.8365823213418044</v>
      </c>
      <c r="E1428" s="15">
        <v>0</v>
      </c>
      <c r="F1428">
        <f t="shared" si="100"/>
        <v>85.766599454992303</v>
      </c>
      <c r="G1428">
        <f t="shared" si="98"/>
        <v>0</v>
      </c>
      <c r="H1428" t="e">
        <f t="shared" si="99"/>
        <v>#NUM!</v>
      </c>
    </row>
    <row r="1429" spans="1:8" x14ac:dyDescent="0.2">
      <c r="A1429" s="1">
        <v>42250</v>
      </c>
      <c r="B1429">
        <v>606.25</v>
      </c>
      <c r="C1429" s="2">
        <f t="shared" si="97"/>
        <v>-1.3168647075636444E-2</v>
      </c>
      <c r="D1429">
        <v>-1.4756532893427989</v>
      </c>
      <c r="E1429" s="15">
        <v>0</v>
      </c>
      <c r="F1429">
        <f t="shared" si="100"/>
        <v>7.3507945210380541</v>
      </c>
      <c r="G1429">
        <f t="shared" si="98"/>
        <v>0</v>
      </c>
      <c r="H1429" t="e">
        <f t="shared" si="99"/>
        <v>#NUM!</v>
      </c>
    </row>
    <row r="1430" spans="1:8" x14ac:dyDescent="0.2">
      <c r="A1430" s="1">
        <v>42251</v>
      </c>
      <c r="B1430">
        <v>600.70001200000002</v>
      </c>
      <c r="C1430" s="2">
        <f t="shared" si="97"/>
        <v>-9.1546193814432738E-3</v>
      </c>
      <c r="D1430">
        <v>-0.30481701507663578</v>
      </c>
      <c r="E1430" s="15">
        <v>0</v>
      </c>
      <c r="F1430">
        <f t="shared" si="100"/>
        <v>0.63272869040568547</v>
      </c>
      <c r="G1430">
        <f t="shared" si="98"/>
        <v>0</v>
      </c>
      <c r="H1430" t="e">
        <f t="shared" si="99"/>
        <v>#NUM!</v>
      </c>
    </row>
    <row r="1431" spans="1:8" x14ac:dyDescent="0.2">
      <c r="A1431" s="1">
        <v>42255</v>
      </c>
      <c r="B1431">
        <v>614.65997300000004</v>
      </c>
      <c r="C1431" s="2">
        <f t="shared" si="97"/>
        <v>2.3239488465334041E-2</v>
      </c>
      <c r="D1431">
        <v>-3.5385532152697992</v>
      </c>
      <c r="E1431" s="15">
        <v>0</v>
      </c>
      <c r="F1431">
        <f t="shared" si="100"/>
        <v>5.7176242238852593E-2</v>
      </c>
      <c r="G1431">
        <f t="shared" si="98"/>
        <v>0</v>
      </c>
      <c r="H1431" t="e">
        <f t="shared" si="99"/>
        <v>#NUM!</v>
      </c>
    </row>
    <row r="1432" spans="1:8" x14ac:dyDescent="0.2">
      <c r="A1432" s="1">
        <v>42256</v>
      </c>
      <c r="B1432">
        <v>612.71997099999999</v>
      </c>
      <c r="C1432" s="2">
        <f t="shared" si="97"/>
        <v>-3.156219837337691E-3</v>
      </c>
      <c r="D1432">
        <v>-1.135812793041713</v>
      </c>
      <c r="E1432" s="15">
        <v>0</v>
      </c>
      <c r="F1432">
        <f t="shared" si="100"/>
        <v>7.8673147972092503E-3</v>
      </c>
      <c r="G1432">
        <f t="shared" si="98"/>
        <v>0</v>
      </c>
      <c r="H1432" t="e">
        <f t="shared" si="99"/>
        <v>#NUM!</v>
      </c>
    </row>
    <row r="1433" spans="1:8" x14ac:dyDescent="0.2">
      <c r="A1433" s="1">
        <v>42257</v>
      </c>
      <c r="B1433">
        <v>621.34997599999997</v>
      </c>
      <c r="C1433" s="2">
        <f t="shared" si="97"/>
        <v>1.4084745737788238E-2</v>
      </c>
      <c r="D1433">
        <v>-5.462536345272099</v>
      </c>
      <c r="E1433" s="15">
        <v>0</v>
      </c>
      <c r="F1433">
        <f t="shared" si="100"/>
        <v>3.6429033935408269E-3</v>
      </c>
      <c r="G1433">
        <f t="shared" si="98"/>
        <v>0</v>
      </c>
      <c r="H1433" t="e">
        <f t="shared" si="99"/>
        <v>#NUM!</v>
      </c>
    </row>
    <row r="1434" spans="1:8" x14ac:dyDescent="0.2">
      <c r="A1434" s="1">
        <v>42258</v>
      </c>
      <c r="B1434">
        <v>625.77002000000005</v>
      </c>
      <c r="C1434" s="2">
        <f t="shared" si="97"/>
        <v>7.1136141799739531E-3</v>
      </c>
      <c r="D1434">
        <v>-0.49494195263399754</v>
      </c>
      <c r="E1434" s="15">
        <v>0</v>
      </c>
      <c r="F1434">
        <f t="shared" si="100"/>
        <v>3.2809881657443192E-3</v>
      </c>
      <c r="G1434">
        <f t="shared" si="98"/>
        <v>0</v>
      </c>
      <c r="H1434" t="e">
        <f t="shared" si="99"/>
        <v>#NUM!</v>
      </c>
    </row>
    <row r="1435" spans="1:8" x14ac:dyDescent="0.2">
      <c r="A1435" s="1">
        <v>42261</v>
      </c>
      <c r="B1435">
        <v>623.23999000000003</v>
      </c>
      <c r="C1435" s="2">
        <f t="shared" si="97"/>
        <v>-4.0430668123091137E-3</v>
      </c>
      <c r="D1435">
        <v>-1.5683562124708761</v>
      </c>
      <c r="E1435" s="15">
        <v>0</v>
      </c>
      <c r="F1435">
        <f t="shared" si="100"/>
        <v>3.2499820397791125E-3</v>
      </c>
      <c r="G1435">
        <f t="shared" si="98"/>
        <v>0</v>
      </c>
      <c r="H1435" t="e">
        <f t="shared" si="99"/>
        <v>#NUM!</v>
      </c>
    </row>
    <row r="1436" spans="1:8" x14ac:dyDescent="0.2">
      <c r="A1436" s="1">
        <v>42262</v>
      </c>
      <c r="B1436">
        <v>635.14001499999995</v>
      </c>
      <c r="C1436" s="2">
        <f t="shared" si="97"/>
        <v>1.9093808470152747E-2</v>
      </c>
      <c r="D1436">
        <v>-5.7226052292832907</v>
      </c>
      <c r="E1436" s="15">
        <v>0</v>
      </c>
      <c r="F1436">
        <f t="shared" si="100"/>
        <v>3.2473256722832669E-3</v>
      </c>
      <c r="G1436">
        <f t="shared" si="98"/>
        <v>0</v>
      </c>
      <c r="H1436" t="e">
        <f t="shared" si="99"/>
        <v>#NUM!</v>
      </c>
    </row>
    <row r="1437" spans="1:8" x14ac:dyDescent="0.2">
      <c r="A1437" s="1">
        <v>42263</v>
      </c>
      <c r="B1437">
        <v>635.97997999999995</v>
      </c>
      <c r="C1437" s="2">
        <f t="shared" si="97"/>
        <v>1.3224879241784295E-3</v>
      </c>
      <c r="D1437">
        <v>-0.93073734209465175</v>
      </c>
      <c r="E1437" s="15">
        <v>1</v>
      </c>
      <c r="F1437">
        <f t="shared" si="100"/>
        <v>3.2470980950528544E-3</v>
      </c>
      <c r="G1437">
        <f t="shared" si="98"/>
        <v>307.96728978516512</v>
      </c>
      <c r="H1437">
        <f t="shared" si="99"/>
        <v>-4.9770091823315141</v>
      </c>
    </row>
    <row r="1438" spans="1:8" x14ac:dyDescent="0.2">
      <c r="A1438" s="1">
        <v>42264</v>
      </c>
      <c r="B1438">
        <v>642.90002400000003</v>
      </c>
      <c r="C1438" s="2">
        <f t="shared" si="97"/>
        <v>1.0880914836344496E-2</v>
      </c>
      <c r="D1438">
        <v>7.2276099746650289</v>
      </c>
      <c r="E1438" s="15">
        <v>0</v>
      </c>
      <c r="F1438">
        <f t="shared" si="100"/>
        <v>12314.243010538719</v>
      </c>
      <c r="G1438">
        <f t="shared" si="98"/>
        <v>0</v>
      </c>
      <c r="H1438" t="e">
        <f t="shared" si="99"/>
        <v>#NUM!</v>
      </c>
    </row>
    <row r="1439" spans="1:8" x14ac:dyDescent="0.2">
      <c r="A1439" s="1">
        <v>42265</v>
      </c>
      <c r="B1439">
        <v>629.25</v>
      </c>
      <c r="C1439" s="2">
        <f t="shared" si="97"/>
        <v>-2.1231954410379724E-2</v>
      </c>
      <c r="D1439">
        <v>-2.9513023242733807</v>
      </c>
      <c r="E1439" s="15">
        <v>0</v>
      </c>
      <c r="F1439">
        <f t="shared" si="100"/>
        <v>1054.9930345922567</v>
      </c>
      <c r="G1439">
        <f t="shared" si="98"/>
        <v>0</v>
      </c>
      <c r="H1439" t="e">
        <f t="shared" si="99"/>
        <v>#NUM!</v>
      </c>
    </row>
    <row r="1440" spans="1:8" x14ac:dyDescent="0.2">
      <c r="A1440" s="1">
        <v>42268</v>
      </c>
      <c r="B1440">
        <v>635.44000200000005</v>
      </c>
      <c r="C1440" s="2">
        <f t="shared" si="97"/>
        <v>9.8371108462456096E-3</v>
      </c>
      <c r="D1440">
        <v>-1.4633163135201777</v>
      </c>
      <c r="E1440" s="15">
        <v>0</v>
      </c>
      <c r="F1440">
        <f t="shared" si="100"/>
        <v>90.386695275043508</v>
      </c>
      <c r="G1440">
        <f t="shared" si="98"/>
        <v>0</v>
      </c>
      <c r="H1440" t="e">
        <f t="shared" si="99"/>
        <v>#NUM!</v>
      </c>
    </row>
    <row r="1441" spans="1:8" x14ac:dyDescent="0.2">
      <c r="A1441" s="1">
        <v>42269</v>
      </c>
      <c r="B1441">
        <v>622.69000200000005</v>
      </c>
      <c r="C1441" s="2">
        <f t="shared" si="97"/>
        <v>-2.0064836900211391E-2</v>
      </c>
      <c r="D1441">
        <v>-3.0397083263394609</v>
      </c>
      <c r="E1441" s="15">
        <v>0</v>
      </c>
      <c r="F1441">
        <f t="shared" si="100"/>
        <v>7.746608960347519</v>
      </c>
      <c r="G1441">
        <f t="shared" si="98"/>
        <v>0</v>
      </c>
      <c r="H1441" t="e">
        <f t="shared" si="99"/>
        <v>#NUM!</v>
      </c>
    </row>
    <row r="1442" spans="1:8" x14ac:dyDescent="0.2">
      <c r="A1442" s="1">
        <v>42270</v>
      </c>
      <c r="B1442">
        <v>622.35998500000005</v>
      </c>
      <c r="C1442" s="2">
        <f t="shared" si="97"/>
        <v>-5.2998602665857159E-4</v>
      </c>
      <c r="D1442">
        <v>-0.9735863276988318</v>
      </c>
      <c r="E1442" s="15">
        <v>0</v>
      </c>
      <c r="F1442">
        <f t="shared" si="100"/>
        <v>0.66663904128757034</v>
      </c>
      <c r="G1442">
        <f t="shared" si="98"/>
        <v>0</v>
      </c>
      <c r="H1442" t="e">
        <f t="shared" si="99"/>
        <v>#NUM!</v>
      </c>
    </row>
    <row r="1443" spans="1:8" x14ac:dyDescent="0.2">
      <c r="A1443" s="1">
        <v>42271</v>
      </c>
      <c r="B1443">
        <v>625.79998799999998</v>
      </c>
      <c r="C1443" s="2">
        <f t="shared" si="97"/>
        <v>5.5273524694874673E-3</v>
      </c>
      <c r="D1443">
        <v>-11.429241888387194</v>
      </c>
      <c r="E1443" s="15">
        <v>0</v>
      </c>
      <c r="F1443">
        <f t="shared" si="100"/>
        <v>6.0081421491379808E-2</v>
      </c>
      <c r="G1443">
        <f t="shared" si="98"/>
        <v>0</v>
      </c>
      <c r="H1443" t="e">
        <f t="shared" si="99"/>
        <v>#NUM!</v>
      </c>
    </row>
    <row r="1444" spans="1:8" x14ac:dyDescent="0.2">
      <c r="A1444" s="1">
        <v>42272</v>
      </c>
      <c r="B1444">
        <v>611.96997099999999</v>
      </c>
      <c r="C1444" s="2">
        <f t="shared" si="97"/>
        <v>-2.2099739957169826E-2</v>
      </c>
      <c r="D1444">
        <v>-4.9982505329932509</v>
      </c>
      <c r="E1444" s="15">
        <v>1</v>
      </c>
      <c r="F1444">
        <f t="shared" si="100"/>
        <v>8.1162083140800326E-3</v>
      </c>
      <c r="G1444">
        <f t="shared" si="98"/>
        <v>123.21024317047109</v>
      </c>
      <c r="H1444">
        <f t="shared" si="99"/>
        <v>-4.181293633754013</v>
      </c>
    </row>
    <row r="1445" spans="1:8" x14ac:dyDescent="0.2">
      <c r="A1445" s="1">
        <v>42275</v>
      </c>
      <c r="B1445">
        <v>594.89001499999995</v>
      </c>
      <c r="C1445" s="2">
        <f t="shared" si="97"/>
        <v>-2.7909794286295198E-2</v>
      </c>
      <c r="D1445">
        <v>0.26290147940136344</v>
      </c>
      <c r="E1445" s="15">
        <v>0</v>
      </c>
      <c r="F1445">
        <f t="shared" si="100"/>
        <v>1971.0282994713391</v>
      </c>
      <c r="G1445">
        <f t="shared" si="98"/>
        <v>0</v>
      </c>
      <c r="H1445" t="e">
        <f t="shared" si="99"/>
        <v>#NUM!</v>
      </c>
    </row>
    <row r="1446" spans="1:8" x14ac:dyDescent="0.2">
      <c r="A1446" s="1">
        <v>42276</v>
      </c>
      <c r="B1446">
        <v>594.96997099999999</v>
      </c>
      <c r="C1446" s="2">
        <f t="shared" si="97"/>
        <v>1.3440467646786496E-4</v>
      </c>
      <c r="D1446">
        <v>-1.0048156813729674</v>
      </c>
      <c r="E1446" s="15">
        <v>1</v>
      </c>
      <c r="F1446">
        <f t="shared" si="100"/>
        <v>168.86558378255336</v>
      </c>
      <c r="G1446">
        <f t="shared" si="98"/>
        <v>5.9218697948996563E-3</v>
      </c>
      <c r="H1446">
        <f t="shared" si="99"/>
        <v>-813138605.46386671</v>
      </c>
    </row>
    <row r="1447" spans="1:8" x14ac:dyDescent="0.2">
      <c r="A1447" s="1">
        <v>42277</v>
      </c>
      <c r="B1447">
        <v>608.419983</v>
      </c>
      <c r="C1447" s="2">
        <f t="shared" si="97"/>
        <v>2.2606203095248342E-2</v>
      </c>
      <c r="D1447">
        <v>167.19506351516941</v>
      </c>
      <c r="E1447" s="15">
        <v>0</v>
      </c>
      <c r="F1447">
        <f t="shared" si="100"/>
        <v>14.470083861800353</v>
      </c>
      <c r="G1447">
        <f t="shared" si="98"/>
        <v>0</v>
      </c>
      <c r="H1447" t="e">
        <f t="shared" si="99"/>
        <v>#NUM!</v>
      </c>
    </row>
    <row r="1448" spans="1:8" x14ac:dyDescent="0.2">
      <c r="A1448" s="1">
        <v>42278</v>
      </c>
      <c r="B1448">
        <v>611.28997800000002</v>
      </c>
      <c r="C1448" s="2">
        <f t="shared" si="97"/>
        <v>4.7171281026120032E-3</v>
      </c>
      <c r="D1448">
        <v>-0.79133479059986378</v>
      </c>
      <c r="E1448" s="15">
        <v>1</v>
      </c>
      <c r="F1448">
        <f t="shared" si="100"/>
        <v>1.2426548972315095</v>
      </c>
      <c r="G1448">
        <f t="shared" si="98"/>
        <v>0.8047286517180946</v>
      </c>
      <c r="H1448">
        <f t="shared" si="99"/>
        <v>-2.1958253710510793</v>
      </c>
    </row>
    <row r="1449" spans="1:8" x14ac:dyDescent="0.2">
      <c r="A1449" s="1">
        <v>42279</v>
      </c>
      <c r="B1449">
        <v>626.90997300000004</v>
      </c>
      <c r="C1449" s="2">
        <f t="shared" si="97"/>
        <v>2.5552512820682979E-2</v>
      </c>
      <c r="D1449">
        <v>4.4169639375563818</v>
      </c>
      <c r="E1449" s="15">
        <v>0</v>
      </c>
      <c r="F1449">
        <f t="shared" si="100"/>
        <v>0.19351095014607383</v>
      </c>
      <c r="G1449">
        <f t="shared" si="98"/>
        <v>0</v>
      </c>
      <c r="H1449" t="e">
        <f t="shared" si="99"/>
        <v>#NUM!</v>
      </c>
    </row>
    <row r="1450" spans="1:8" x14ac:dyDescent="0.2">
      <c r="A1450" s="1">
        <v>42282</v>
      </c>
      <c r="B1450">
        <v>641.46997099999999</v>
      </c>
      <c r="C1450" s="2">
        <f t="shared" si="97"/>
        <v>2.3225022135674254E-2</v>
      </c>
      <c r="D1450">
        <v>-9.108656754590426E-2</v>
      </c>
      <c r="E1450" s="15">
        <v>0</v>
      </c>
      <c r="F1450">
        <f t="shared" si="100"/>
        <v>1.9547428818766126E-2</v>
      </c>
      <c r="G1450">
        <f t="shared" si="98"/>
        <v>0</v>
      </c>
      <c r="H1450" t="e">
        <f t="shared" si="99"/>
        <v>#NUM!</v>
      </c>
    </row>
    <row r="1451" spans="1:8" x14ac:dyDescent="0.2">
      <c r="A1451" s="1">
        <v>42283</v>
      </c>
      <c r="B1451">
        <v>645.44000200000005</v>
      </c>
      <c r="C1451" s="2">
        <f t="shared" si="97"/>
        <v>6.1889584539882737E-3</v>
      </c>
      <c r="D1451">
        <v>-0.73352195671401021</v>
      </c>
      <c r="E1451" s="15">
        <v>0</v>
      </c>
      <c r="F1451">
        <f t="shared" si="100"/>
        <v>4.6435661422328895E-3</v>
      </c>
      <c r="G1451">
        <f t="shared" si="98"/>
        <v>0</v>
      </c>
      <c r="H1451" t="e">
        <f t="shared" si="99"/>
        <v>#NUM!</v>
      </c>
    </row>
    <row r="1452" spans="1:8" x14ac:dyDescent="0.2">
      <c r="A1452" s="1">
        <v>42284</v>
      </c>
      <c r="B1452">
        <v>642.35998500000005</v>
      </c>
      <c r="C1452" s="2">
        <f t="shared" si="97"/>
        <v>-4.7719648463932637E-3</v>
      </c>
      <c r="D1452">
        <v>-1.7710448990521379</v>
      </c>
      <c r="E1452" s="15">
        <v>1</v>
      </c>
      <c r="F1452">
        <f t="shared" si="100"/>
        <v>3.3667172891734144E-3</v>
      </c>
      <c r="G1452">
        <f t="shared" si="98"/>
        <v>297.02523678354851</v>
      </c>
      <c r="H1452">
        <f t="shared" si="99"/>
        <v>-4.9455867016599111</v>
      </c>
    </row>
    <row r="1453" spans="1:8" x14ac:dyDescent="0.2">
      <c r="A1453" s="1">
        <v>42285</v>
      </c>
      <c r="B1453">
        <v>639.15997300000004</v>
      </c>
      <c r="C1453" s="2">
        <f t="shared" si="97"/>
        <v>-4.9816490359374035E-3</v>
      </c>
      <c r="D1453">
        <v>4.3940849585810113E-2</v>
      </c>
      <c r="E1453" s="15">
        <v>0</v>
      </c>
      <c r="F1453">
        <f t="shared" si="100"/>
        <v>11454.740317431002</v>
      </c>
      <c r="G1453">
        <f t="shared" si="98"/>
        <v>0</v>
      </c>
      <c r="H1453" t="e">
        <f t="shared" si="99"/>
        <v>#NUM!</v>
      </c>
    </row>
    <row r="1454" spans="1:8" x14ac:dyDescent="0.2">
      <c r="A1454" s="1">
        <v>42286</v>
      </c>
      <c r="B1454">
        <v>643.60998500000005</v>
      </c>
      <c r="C1454" s="2">
        <f t="shared" si="97"/>
        <v>6.9622820388973499E-3</v>
      </c>
      <c r="D1454">
        <v>-2.3975858172006386</v>
      </c>
      <c r="E1454" s="15">
        <v>0</v>
      </c>
      <c r="F1454">
        <f t="shared" si="100"/>
        <v>981.35742403177358</v>
      </c>
      <c r="G1454">
        <f t="shared" si="98"/>
        <v>0</v>
      </c>
      <c r="H1454" t="e">
        <f t="shared" si="99"/>
        <v>#NUM!</v>
      </c>
    </row>
    <row r="1455" spans="1:8" x14ac:dyDescent="0.2">
      <c r="A1455" s="1">
        <v>42289</v>
      </c>
      <c r="B1455">
        <v>646.669983</v>
      </c>
      <c r="C1455" s="2">
        <f t="shared" si="97"/>
        <v>4.754429035155429E-3</v>
      </c>
      <c r="D1455">
        <v>-0.31711628334028091</v>
      </c>
      <c r="E1455" s="15">
        <v>1</v>
      </c>
      <c r="F1455">
        <f t="shared" si="100"/>
        <v>84.078159902094328</v>
      </c>
      <c r="G1455">
        <f t="shared" si="98"/>
        <v>1.189369511849998E-2</v>
      </c>
      <c r="H1455">
        <f t="shared" si="99"/>
        <v>-49972693.686913118</v>
      </c>
    </row>
    <row r="1456" spans="1:8" x14ac:dyDescent="0.2">
      <c r="A1456" s="1">
        <v>42290</v>
      </c>
      <c r="B1456">
        <v>652.29998799999998</v>
      </c>
      <c r="C1456" s="2">
        <f t="shared" si="97"/>
        <v>8.7061486507871242E-3</v>
      </c>
      <c r="D1456">
        <v>0.83116596891271255</v>
      </c>
      <c r="E1456" s="15">
        <v>0</v>
      </c>
      <c r="F1456">
        <f t="shared" si="100"/>
        <v>7.2061603132474792</v>
      </c>
      <c r="G1456">
        <f t="shared" si="98"/>
        <v>0</v>
      </c>
      <c r="H1456" t="e">
        <f t="shared" si="99"/>
        <v>#NUM!</v>
      </c>
    </row>
    <row r="1457" spans="1:8" x14ac:dyDescent="0.2">
      <c r="A1457" s="1">
        <v>42291</v>
      </c>
      <c r="B1457">
        <v>651.15997300000004</v>
      </c>
      <c r="C1457" s="2">
        <f t="shared" si="97"/>
        <v>-1.7476851463623644E-3</v>
      </c>
      <c r="D1457">
        <v>-1.2007414778295058</v>
      </c>
      <c r="E1457" s="15">
        <v>0</v>
      </c>
      <c r="F1457">
        <f t="shared" si="100"/>
        <v>0.62033753877347531</v>
      </c>
      <c r="G1457">
        <f t="shared" si="98"/>
        <v>0</v>
      </c>
      <c r="H1457" t="e">
        <f t="shared" si="99"/>
        <v>#NUM!</v>
      </c>
    </row>
    <row r="1458" spans="1:8" x14ac:dyDescent="0.2">
      <c r="A1458" s="1">
        <v>42292</v>
      </c>
      <c r="B1458">
        <v>661.73999000000003</v>
      </c>
      <c r="C1458" s="2">
        <f t="shared" si="97"/>
        <v>1.6247953557796461E-2</v>
      </c>
      <c r="D1458">
        <v>-10.296842507138649</v>
      </c>
      <c r="E1458" s="15">
        <v>0</v>
      </c>
      <c r="F1458">
        <f t="shared" si="100"/>
        <v>5.6114663231245025E-2</v>
      </c>
      <c r="G1458">
        <f t="shared" si="98"/>
        <v>0</v>
      </c>
      <c r="H1458" t="e">
        <f t="shared" si="99"/>
        <v>#NUM!</v>
      </c>
    </row>
    <row r="1459" spans="1:8" x14ac:dyDescent="0.2">
      <c r="A1459" s="1">
        <v>42293</v>
      </c>
      <c r="B1459">
        <v>662.20001200000002</v>
      </c>
      <c r="C1459" s="2">
        <f t="shared" si="97"/>
        <v>6.9517031908556835E-4</v>
      </c>
      <c r="D1459">
        <v>-0.95721489991876574</v>
      </c>
      <c r="E1459" s="15">
        <v>1</v>
      </c>
      <c r="F1459">
        <f t="shared" si="100"/>
        <v>7.7763668350792712E-3</v>
      </c>
      <c r="G1459">
        <f t="shared" si="98"/>
        <v>128.59475654993403</v>
      </c>
      <c r="H1459">
        <f t="shared" si="99"/>
        <v>-4.2184465248479421</v>
      </c>
    </row>
    <row r="1460" spans="1:8" x14ac:dyDescent="0.2">
      <c r="A1460" s="1">
        <v>42296</v>
      </c>
      <c r="B1460">
        <v>666.09997599999997</v>
      </c>
      <c r="C1460" s="2">
        <f t="shared" si="97"/>
        <v>5.8894049068666495E-3</v>
      </c>
      <c r="D1460">
        <v>7.4718877448818759</v>
      </c>
      <c r="E1460" s="15">
        <v>0</v>
      </c>
      <c r="F1460">
        <f t="shared" si="100"/>
        <v>2147.0674080075692</v>
      </c>
      <c r="G1460">
        <f t="shared" si="98"/>
        <v>0</v>
      </c>
      <c r="H1460" t="e">
        <f t="shared" si="99"/>
        <v>#NUM!</v>
      </c>
    </row>
    <row r="1461" spans="1:8" x14ac:dyDescent="0.2">
      <c r="A1461" s="1">
        <v>42297</v>
      </c>
      <c r="B1461">
        <v>650.28002900000001</v>
      </c>
      <c r="C1461" s="2">
        <f t="shared" si="97"/>
        <v>-2.3750108947609327E-2</v>
      </c>
      <c r="D1461">
        <v>-5.0326840017262695</v>
      </c>
      <c r="E1461" s="15">
        <v>0</v>
      </c>
      <c r="F1461">
        <f t="shared" si="100"/>
        <v>183.9472668808562</v>
      </c>
      <c r="G1461">
        <f t="shared" si="98"/>
        <v>0</v>
      </c>
      <c r="H1461" t="e">
        <f t="shared" si="99"/>
        <v>#NUM!</v>
      </c>
    </row>
    <row r="1462" spans="1:8" x14ac:dyDescent="0.2">
      <c r="A1462" s="1">
        <v>42298</v>
      </c>
      <c r="B1462">
        <v>642.60998500000005</v>
      </c>
      <c r="C1462" s="2">
        <f t="shared" si="97"/>
        <v>-1.1794986248916405E-2</v>
      </c>
      <c r="D1462">
        <v>-0.50337127821454974</v>
      </c>
      <c r="E1462" s="15">
        <v>0</v>
      </c>
      <c r="F1462">
        <f t="shared" si="100"/>
        <v>15.762162454044825</v>
      </c>
      <c r="G1462">
        <f t="shared" si="98"/>
        <v>0</v>
      </c>
      <c r="H1462" t="e">
        <f t="shared" si="99"/>
        <v>#NUM!</v>
      </c>
    </row>
    <row r="1463" spans="1:8" x14ac:dyDescent="0.2">
      <c r="A1463" s="1">
        <v>42299</v>
      </c>
      <c r="B1463">
        <v>651.78997800000002</v>
      </c>
      <c r="C1463" s="2">
        <f t="shared" si="97"/>
        <v>1.4285481418406481E-2</v>
      </c>
      <c r="D1463">
        <v>-2.2111486284877082</v>
      </c>
      <c r="E1463" s="15">
        <v>1</v>
      </c>
      <c r="F1463">
        <f t="shared" si="100"/>
        <v>1.3533502991133128</v>
      </c>
      <c r="G1463">
        <f t="shared" si="98"/>
        <v>0.7389069930048261</v>
      </c>
      <c r="H1463">
        <f t="shared" si="99"/>
        <v>-3.0917807153414389</v>
      </c>
    </row>
    <row r="1464" spans="1:8" x14ac:dyDescent="0.2">
      <c r="A1464" s="1">
        <v>42300</v>
      </c>
      <c r="B1464">
        <v>702</v>
      </c>
      <c r="C1464" s="2">
        <f t="shared" si="97"/>
        <v>7.7034050376270105E-2</v>
      </c>
      <c r="D1464">
        <v>4.3924714274601682</v>
      </c>
      <c r="E1464" s="15">
        <v>0</v>
      </c>
      <c r="F1464">
        <f t="shared" si="100"/>
        <v>0.18980244215343214</v>
      </c>
      <c r="G1464">
        <f t="shared" si="98"/>
        <v>0</v>
      </c>
      <c r="H1464" t="e">
        <f t="shared" si="99"/>
        <v>#NUM!</v>
      </c>
    </row>
    <row r="1465" spans="1:8" x14ac:dyDescent="0.2">
      <c r="A1465" s="1">
        <v>42303</v>
      </c>
      <c r="B1465">
        <v>712.78002900000001</v>
      </c>
      <c r="C1465" s="2">
        <f t="shared" si="97"/>
        <v>1.5356166666666685E-2</v>
      </c>
      <c r="D1465">
        <v>-0.8006574158873897</v>
      </c>
      <c r="E1465" s="15">
        <v>0</v>
      </c>
      <c r="F1465">
        <f t="shared" si="100"/>
        <v>1.9229712245570491E-2</v>
      </c>
      <c r="G1465">
        <f t="shared" si="98"/>
        <v>0</v>
      </c>
      <c r="H1465" t="e">
        <f t="shared" si="99"/>
        <v>#NUM!</v>
      </c>
    </row>
    <row r="1466" spans="1:8" x14ac:dyDescent="0.2">
      <c r="A1466" s="1">
        <v>42304</v>
      </c>
      <c r="B1466">
        <v>708.48999000000003</v>
      </c>
      <c r="C1466" s="2">
        <f t="shared" si="97"/>
        <v>-6.0187418634872819E-3</v>
      </c>
      <c r="D1466">
        <v>-1.3919429890372341</v>
      </c>
      <c r="E1466" s="15">
        <v>0</v>
      </c>
      <c r="F1466">
        <f t="shared" si="100"/>
        <v>4.6163466186176063E-3</v>
      </c>
      <c r="G1466">
        <f t="shared" si="98"/>
        <v>0</v>
      </c>
      <c r="H1466" t="e">
        <f t="shared" si="99"/>
        <v>#NUM!</v>
      </c>
    </row>
    <row r="1467" spans="1:8" x14ac:dyDescent="0.2">
      <c r="A1467" s="1">
        <v>42305</v>
      </c>
      <c r="B1467">
        <v>712.95001200000002</v>
      </c>
      <c r="C1467" s="2">
        <f t="shared" si="97"/>
        <v>6.2951094058505764E-3</v>
      </c>
      <c r="D1467">
        <v>-2.0459178261224125</v>
      </c>
      <c r="E1467" s="15">
        <v>0</v>
      </c>
      <c r="F1467">
        <f t="shared" si="100"/>
        <v>3.3643853287774208E-3</v>
      </c>
      <c r="G1467">
        <f t="shared" si="98"/>
        <v>0</v>
      </c>
      <c r="H1467" t="e">
        <f t="shared" si="99"/>
        <v>#NUM!</v>
      </c>
    </row>
    <row r="1468" spans="1:8" x14ac:dyDescent="0.2">
      <c r="A1468" s="1">
        <v>42306</v>
      </c>
      <c r="B1468">
        <v>716.919983</v>
      </c>
      <c r="C1468" s="2">
        <f t="shared" si="97"/>
        <v>5.5683721623950074E-3</v>
      </c>
      <c r="D1468">
        <v>-0.11544473600095825</v>
      </c>
      <c r="E1468" s="15">
        <v>0</v>
      </c>
      <c r="F1468">
        <f t="shared" si="100"/>
        <v>3.2571268702353737E-3</v>
      </c>
      <c r="G1468">
        <f t="shared" si="98"/>
        <v>0</v>
      </c>
      <c r="H1468" t="e">
        <f t="shared" si="99"/>
        <v>#NUM!</v>
      </c>
    </row>
    <row r="1469" spans="1:8" x14ac:dyDescent="0.2">
      <c r="A1469" s="1">
        <v>42307</v>
      </c>
      <c r="B1469">
        <v>710.80999799999995</v>
      </c>
      <c r="C1469" s="2">
        <f t="shared" si="97"/>
        <v>-8.5225480456443785E-3</v>
      </c>
      <c r="D1469">
        <v>-2.5305277372083466</v>
      </c>
      <c r="E1469" s="15">
        <v>0</v>
      </c>
      <c r="F1469">
        <f t="shared" si="100"/>
        <v>3.2479377866573306E-3</v>
      </c>
      <c r="G1469">
        <f t="shared" si="98"/>
        <v>0</v>
      </c>
      <c r="H1469" t="e">
        <f t="shared" si="99"/>
        <v>#NUM!</v>
      </c>
    </row>
    <row r="1470" spans="1:8" x14ac:dyDescent="0.2">
      <c r="A1470" s="1">
        <v>42310</v>
      </c>
      <c r="B1470">
        <v>721.10998500000005</v>
      </c>
      <c r="C1470" s="2">
        <f t="shared" si="97"/>
        <v>1.4490492577455419E-2</v>
      </c>
      <c r="D1470">
        <v>-2.7002535509155714</v>
      </c>
      <c r="E1470" s="15">
        <v>0</v>
      </c>
      <c r="F1470">
        <f t="shared" si="100"/>
        <v>3.247150536326196E-3</v>
      </c>
      <c r="G1470">
        <f t="shared" si="98"/>
        <v>0</v>
      </c>
      <c r="H1470" t="e">
        <f t="shared" si="99"/>
        <v>#NUM!</v>
      </c>
    </row>
    <row r="1471" spans="1:8" x14ac:dyDescent="0.2">
      <c r="A1471" s="1">
        <v>42311</v>
      </c>
      <c r="B1471">
        <v>722.15997300000004</v>
      </c>
      <c r="C1471" s="2">
        <f t="shared" si="97"/>
        <v>1.4560719194589779E-3</v>
      </c>
      <c r="D1471">
        <v>-0.8995153607321561</v>
      </c>
      <c r="E1471" s="15">
        <v>1</v>
      </c>
      <c r="F1471">
        <f t="shared" si="100"/>
        <v>3.2470830907448591E-3</v>
      </c>
      <c r="G1471">
        <f t="shared" si="98"/>
        <v>307.96871285810141</v>
      </c>
      <c r="H1471">
        <f t="shared" si="99"/>
        <v>-4.9770131959479968</v>
      </c>
    </row>
    <row r="1472" spans="1:8" x14ac:dyDescent="0.2">
      <c r="A1472" s="1">
        <v>42312</v>
      </c>
      <c r="B1472">
        <v>728.10998500000005</v>
      </c>
      <c r="C1472" s="2">
        <f t="shared" si="97"/>
        <v>8.2391882996262593E-3</v>
      </c>
      <c r="D1472">
        <v>4.6585036697140856</v>
      </c>
      <c r="E1472" s="15">
        <v>0</v>
      </c>
      <c r="F1472">
        <f t="shared" si="100"/>
        <v>12314.356815492747</v>
      </c>
      <c r="G1472">
        <f t="shared" si="98"/>
        <v>0</v>
      </c>
      <c r="H1472" t="e">
        <f t="shared" si="99"/>
        <v>#NUM!</v>
      </c>
    </row>
    <row r="1473" spans="1:8" x14ac:dyDescent="0.2">
      <c r="A1473" s="1">
        <v>42313</v>
      </c>
      <c r="B1473">
        <v>731.25</v>
      </c>
      <c r="C1473" s="2">
        <f t="shared" si="97"/>
        <v>4.3125558839849564E-3</v>
      </c>
      <c r="D1473">
        <v>-0.47658000677316964</v>
      </c>
      <c r="E1473" s="15">
        <v>0</v>
      </c>
      <c r="F1473">
        <f t="shared" si="100"/>
        <v>1055.0027845294492</v>
      </c>
      <c r="G1473">
        <f t="shared" si="98"/>
        <v>0</v>
      </c>
      <c r="H1473" t="e">
        <f t="shared" si="99"/>
        <v>#NUM!</v>
      </c>
    </row>
    <row r="1474" spans="1:8" x14ac:dyDescent="0.2">
      <c r="A1474" s="1">
        <v>42314</v>
      </c>
      <c r="B1474">
        <v>733.76000999999997</v>
      </c>
      <c r="C1474" s="2">
        <f t="shared" si="97"/>
        <v>3.4324923076922607E-3</v>
      </c>
      <c r="D1474">
        <v>-0.20407006887977658</v>
      </c>
      <c r="E1474" s="15">
        <v>0</v>
      </c>
      <c r="F1474">
        <f t="shared" si="100"/>
        <v>90.387530575018545</v>
      </c>
      <c r="G1474">
        <f t="shared" si="98"/>
        <v>0</v>
      </c>
      <c r="H1474" t="e">
        <f t="shared" si="99"/>
        <v>#NUM!</v>
      </c>
    </row>
    <row r="1475" spans="1:8" x14ac:dyDescent="0.2">
      <c r="A1475" s="1">
        <v>42317</v>
      </c>
      <c r="B1475">
        <v>724.89001499999995</v>
      </c>
      <c r="C1475" s="2">
        <f t="shared" si="97"/>
        <v>-1.2088414303199785E-2</v>
      </c>
      <c r="D1475">
        <v>-4.5217600564200797</v>
      </c>
      <c r="E1475" s="15">
        <v>0</v>
      </c>
      <c r="F1475">
        <f t="shared" si="100"/>
        <v>7.7466805224544864</v>
      </c>
      <c r="G1475">
        <f t="shared" si="98"/>
        <v>0</v>
      </c>
      <c r="H1475" t="e">
        <f t="shared" si="99"/>
        <v>#NUM!</v>
      </c>
    </row>
    <row r="1476" spans="1:8" x14ac:dyDescent="0.2">
      <c r="A1476" s="1">
        <v>42318</v>
      </c>
      <c r="B1476">
        <v>728.32000700000003</v>
      </c>
      <c r="C1476" s="2">
        <f t="shared" ref="C1476:C1539" si="101">(B1476-B1475)/B1475</f>
        <v>4.731741269742947E-3</v>
      </c>
      <c r="D1476">
        <v>-1.3914277878853361</v>
      </c>
      <c r="E1476" s="15">
        <v>1</v>
      </c>
      <c r="F1476">
        <f t="shared" si="100"/>
        <v>0.66664517218102981</v>
      </c>
      <c r="G1476">
        <f t="shared" si="98"/>
        <v>1.5000483641520268</v>
      </c>
      <c r="H1476">
        <f t="shared" si="99"/>
        <v>-0.54971591385594309</v>
      </c>
    </row>
    <row r="1477" spans="1:8" x14ac:dyDescent="0.2">
      <c r="A1477" s="1">
        <v>42319</v>
      </c>
      <c r="B1477">
        <v>735.40002400000003</v>
      </c>
      <c r="C1477" s="2">
        <f t="shared" si="101"/>
        <v>9.721025005427316E-3</v>
      </c>
      <c r="D1477">
        <v>1.0544286872970579</v>
      </c>
      <c r="E1477" s="15">
        <v>0</v>
      </c>
      <c r="F1477">
        <f t="shared" si="100"/>
        <v>0.35223400234422864</v>
      </c>
      <c r="G1477">
        <f t="shared" si="98"/>
        <v>0</v>
      </c>
      <c r="H1477" t="e">
        <f t="shared" si="99"/>
        <v>#NUM!</v>
      </c>
    </row>
    <row r="1478" spans="1:8" x14ac:dyDescent="0.2">
      <c r="A1478" s="1">
        <v>42320</v>
      </c>
      <c r="B1478">
        <v>731.22997999999995</v>
      </c>
      <c r="C1478" s="2">
        <f t="shared" si="101"/>
        <v>-5.6704431111088398E-3</v>
      </c>
      <c r="D1478">
        <v>-1.5833174081892591</v>
      </c>
      <c r="E1478" s="15">
        <v>1</v>
      </c>
      <c r="F1478">
        <f t="shared" si="100"/>
        <v>3.3145604778372778E-2</v>
      </c>
      <c r="G1478">
        <f t="shared" si="98"/>
        <v>30.169912623000062</v>
      </c>
      <c r="H1478">
        <f t="shared" si="99"/>
        <v>-2.9591493117682899</v>
      </c>
    </row>
    <row r="1479" spans="1:8" x14ac:dyDescent="0.2">
      <c r="A1479" s="1">
        <v>42321</v>
      </c>
      <c r="B1479">
        <v>717</v>
      </c>
      <c r="C1479" s="2">
        <f t="shared" si="101"/>
        <v>-1.9460334490114802E-2</v>
      </c>
      <c r="D1479">
        <v>2.4318895558603684</v>
      </c>
      <c r="E1479" s="15">
        <v>0</v>
      </c>
      <c r="F1479">
        <f t="shared" si="100"/>
        <v>118.18650032414341</v>
      </c>
      <c r="G1479">
        <f t="shared" si="98"/>
        <v>0</v>
      </c>
      <c r="H1479" t="e">
        <f t="shared" si="99"/>
        <v>#NUM!</v>
      </c>
    </row>
    <row r="1480" spans="1:8" x14ac:dyDescent="0.2">
      <c r="A1480" s="1">
        <v>42324</v>
      </c>
      <c r="B1480">
        <v>728.96002199999998</v>
      </c>
      <c r="C1480" s="2">
        <f t="shared" si="101"/>
        <v>1.6680644351464408E-2</v>
      </c>
      <c r="D1480">
        <v>-1.8571612353291058</v>
      </c>
      <c r="E1480" s="15">
        <v>0</v>
      </c>
      <c r="F1480">
        <f t="shared" si="100"/>
        <v>10.128283427068849</v>
      </c>
      <c r="G1480">
        <f t="shared" ref="G1480:G1543" si="102">E1480/F1480</f>
        <v>0</v>
      </c>
      <c r="H1480" t="e">
        <f t="shared" ref="H1480:H1543" si="103">-LOG(G1480^2)-(F1480^2)/(G1480^2)</f>
        <v>#NUM!</v>
      </c>
    </row>
    <row r="1481" spans="1:8" x14ac:dyDescent="0.2">
      <c r="A1481" s="1">
        <v>42325</v>
      </c>
      <c r="B1481">
        <v>725.29998799999998</v>
      </c>
      <c r="C1481" s="2">
        <f t="shared" si="101"/>
        <v>-5.020898114492205E-3</v>
      </c>
      <c r="D1481">
        <v>-1.3010014486671444</v>
      </c>
      <c r="E1481" s="15">
        <v>0</v>
      </c>
      <c r="F1481">
        <f t="shared" ref="F1481:F1544" si="104" xml:space="preserve"> $K$5 + $K$6 * G1480 ^ 2 + $K$7 * F1480</f>
        <v>0.87068267596104409</v>
      </c>
      <c r="G1481">
        <f t="shared" si="102"/>
        <v>0</v>
      </c>
      <c r="H1481" t="e">
        <f t="shared" si="103"/>
        <v>#NUM!</v>
      </c>
    </row>
    <row r="1482" spans="1:8" x14ac:dyDescent="0.2">
      <c r="A1482" s="1">
        <v>42326</v>
      </c>
      <c r="B1482">
        <v>740</v>
      </c>
      <c r="C1482" s="2">
        <f t="shared" si="101"/>
        <v>2.0267492407569178E-2</v>
      </c>
      <c r="D1482">
        <v>-5.0366269032764386</v>
      </c>
      <c r="E1482" s="15">
        <v>0</v>
      </c>
      <c r="F1482">
        <f t="shared" si="104"/>
        <v>7.7562317991931418E-2</v>
      </c>
      <c r="G1482">
        <f t="shared" si="102"/>
        <v>0</v>
      </c>
      <c r="H1482" t="e">
        <f t="shared" si="103"/>
        <v>#NUM!</v>
      </c>
    </row>
    <row r="1483" spans="1:8" x14ac:dyDescent="0.2">
      <c r="A1483" s="1">
        <v>42327</v>
      </c>
      <c r="B1483">
        <v>738.40997300000004</v>
      </c>
      <c r="C1483" s="2">
        <f t="shared" si="101"/>
        <v>-2.1486851351350859E-3</v>
      </c>
      <c r="D1483">
        <v>-1.1060163286077083</v>
      </c>
      <c r="E1483" s="15">
        <v>0</v>
      </c>
      <c r="F1483">
        <f t="shared" si="104"/>
        <v>9.6138376959130547E-3</v>
      </c>
      <c r="G1483">
        <f t="shared" si="102"/>
        <v>0</v>
      </c>
      <c r="H1483" t="e">
        <f t="shared" si="103"/>
        <v>#NUM!</v>
      </c>
    </row>
    <row r="1484" spans="1:8" x14ac:dyDescent="0.2">
      <c r="A1484" s="1">
        <v>42328</v>
      </c>
      <c r="B1484">
        <v>756.59997599999997</v>
      </c>
      <c r="C1484" s="2">
        <f t="shared" si="101"/>
        <v>2.4634015878872661E-2</v>
      </c>
      <c r="D1484">
        <v>-12.464693209842466</v>
      </c>
      <c r="E1484" s="15">
        <v>0</v>
      </c>
      <c r="F1484">
        <f t="shared" si="104"/>
        <v>3.7925321044630874E-3</v>
      </c>
      <c r="G1484">
        <f t="shared" si="102"/>
        <v>0</v>
      </c>
      <c r="H1484" t="e">
        <f t="shared" si="103"/>
        <v>#NUM!</v>
      </c>
    </row>
    <row r="1485" spans="1:8" x14ac:dyDescent="0.2">
      <c r="A1485" s="1">
        <v>42331</v>
      </c>
      <c r="B1485">
        <v>755.97997999999995</v>
      </c>
      <c r="C1485" s="2">
        <f t="shared" si="101"/>
        <v>-8.1945019781498737E-4</v>
      </c>
      <c r="D1485">
        <v>-1.033264986181883</v>
      </c>
      <c r="E1485" s="15">
        <v>1</v>
      </c>
      <c r="F1485">
        <f t="shared" si="104"/>
        <v>3.2938072081679102E-3</v>
      </c>
      <c r="G1485">
        <f t="shared" si="102"/>
        <v>303.60003995383278</v>
      </c>
      <c r="H1485">
        <f t="shared" si="103"/>
        <v>-4.9646036488710976</v>
      </c>
    </row>
    <row r="1486" spans="1:8" x14ac:dyDescent="0.2">
      <c r="A1486" s="1">
        <v>42332</v>
      </c>
      <c r="B1486">
        <v>748.28002900000001</v>
      </c>
      <c r="C1486" s="2">
        <f t="shared" si="101"/>
        <v>-1.0185390094589465E-2</v>
      </c>
      <c r="D1486">
        <v>11.429541321422791</v>
      </c>
      <c r="E1486" s="15">
        <v>0</v>
      </c>
      <c r="F1486">
        <f t="shared" si="104"/>
        <v>11967.465653869553</v>
      </c>
      <c r="G1486">
        <f t="shared" si="102"/>
        <v>0</v>
      </c>
      <c r="H1486" t="e">
        <f t="shared" si="103"/>
        <v>#NUM!</v>
      </c>
    </row>
    <row r="1487" spans="1:8" x14ac:dyDescent="0.2">
      <c r="A1487" s="1">
        <v>42333</v>
      </c>
      <c r="B1487">
        <v>748.15002400000003</v>
      </c>
      <c r="C1487" s="2">
        <f t="shared" si="101"/>
        <v>-1.7373843342274048E-4</v>
      </c>
      <c r="D1487">
        <v>-0.98294238788998067</v>
      </c>
      <c r="E1487" s="15">
        <v>0</v>
      </c>
      <c r="F1487">
        <f t="shared" si="104"/>
        <v>1025.2838055326517</v>
      </c>
      <c r="G1487">
        <f t="shared" si="102"/>
        <v>0</v>
      </c>
      <c r="H1487" t="e">
        <f t="shared" si="103"/>
        <v>#NUM!</v>
      </c>
    </row>
    <row r="1488" spans="1:8" x14ac:dyDescent="0.2">
      <c r="A1488" s="1">
        <v>42335</v>
      </c>
      <c r="B1488">
        <v>750.26000999999997</v>
      </c>
      <c r="C1488" s="2">
        <f t="shared" si="101"/>
        <v>2.8202712454901092E-3</v>
      </c>
      <c r="D1488">
        <v>-17.232857577504589</v>
      </c>
      <c r="E1488" s="15">
        <v>0</v>
      </c>
      <c r="F1488">
        <f t="shared" si="104"/>
        <v>87.841435977279929</v>
      </c>
      <c r="G1488">
        <f t="shared" si="102"/>
        <v>0</v>
      </c>
      <c r="H1488" t="e">
        <f t="shared" si="103"/>
        <v>#NUM!</v>
      </c>
    </row>
    <row r="1489" spans="1:8" x14ac:dyDescent="0.2">
      <c r="A1489" s="1">
        <v>42338</v>
      </c>
      <c r="B1489">
        <v>742.59997599999997</v>
      </c>
      <c r="C1489" s="2">
        <f t="shared" si="101"/>
        <v>-1.0209839119640665E-2</v>
      </c>
      <c r="D1489">
        <v>-4.6201621159550523</v>
      </c>
      <c r="E1489" s="15">
        <v>0</v>
      </c>
      <c r="F1489">
        <f t="shared" si="104"/>
        <v>7.5285506297239069</v>
      </c>
      <c r="G1489">
        <f t="shared" si="102"/>
        <v>0</v>
      </c>
      <c r="H1489" t="e">
        <f t="shared" si="103"/>
        <v>#NUM!</v>
      </c>
    </row>
    <row r="1490" spans="1:8" x14ac:dyDescent="0.2">
      <c r="A1490" s="1">
        <v>42339</v>
      </c>
      <c r="B1490">
        <v>767.03997800000002</v>
      </c>
      <c r="C1490" s="2">
        <f t="shared" si="101"/>
        <v>3.2911396161962779E-2</v>
      </c>
      <c r="D1490">
        <v>-4.2234980175790557</v>
      </c>
      <c r="E1490" s="15">
        <v>0</v>
      </c>
      <c r="F1490">
        <f t="shared" si="104"/>
        <v>0.64795747293178974</v>
      </c>
      <c r="G1490">
        <f t="shared" si="102"/>
        <v>0</v>
      </c>
      <c r="H1490" t="e">
        <f t="shared" si="103"/>
        <v>#NUM!</v>
      </c>
    </row>
    <row r="1491" spans="1:8" x14ac:dyDescent="0.2">
      <c r="A1491" s="1">
        <v>42340</v>
      </c>
      <c r="B1491">
        <v>762.38000499999998</v>
      </c>
      <c r="C1491" s="2">
        <f t="shared" si="101"/>
        <v>-6.07526743540874E-3</v>
      </c>
      <c r="D1491">
        <v>-1.1845946433117356</v>
      </c>
      <c r="E1491" s="15">
        <v>1</v>
      </c>
      <c r="F1491">
        <f t="shared" si="104"/>
        <v>5.8480927737100313E-2</v>
      </c>
      <c r="G1491">
        <f t="shared" si="102"/>
        <v>17.099591930132799</v>
      </c>
      <c r="H1491">
        <f t="shared" si="103"/>
        <v>-2.4659831892895303</v>
      </c>
    </row>
    <row r="1492" spans="1:8" x14ac:dyDescent="0.2">
      <c r="A1492" s="1">
        <v>42341</v>
      </c>
      <c r="B1492">
        <v>752.53997800000002</v>
      </c>
      <c r="C1492" s="2">
        <f t="shared" si="101"/>
        <v>-1.2906984621140429E-2</v>
      </c>
      <c r="D1492">
        <v>1.1245129960722553</v>
      </c>
      <c r="E1492" s="15">
        <v>0</v>
      </c>
      <c r="F1492">
        <f t="shared" si="104"/>
        <v>37.971799981033264</v>
      </c>
      <c r="G1492">
        <f t="shared" si="102"/>
        <v>0</v>
      </c>
      <c r="H1492" t="e">
        <f t="shared" si="103"/>
        <v>#NUM!</v>
      </c>
    </row>
    <row r="1493" spans="1:8" x14ac:dyDescent="0.2">
      <c r="A1493" s="1">
        <v>42342</v>
      </c>
      <c r="B1493">
        <v>766.80999799999995</v>
      </c>
      <c r="C1493" s="2">
        <f t="shared" si="101"/>
        <v>1.8962474309902951E-2</v>
      </c>
      <c r="D1493">
        <v>-2.4691637796518484</v>
      </c>
      <c r="E1493" s="15">
        <v>0</v>
      </c>
      <c r="F1493">
        <f t="shared" si="104"/>
        <v>3.2561020097724089</v>
      </c>
      <c r="G1493">
        <f t="shared" si="102"/>
        <v>0</v>
      </c>
      <c r="H1493" t="e">
        <f t="shared" si="103"/>
        <v>#NUM!</v>
      </c>
    </row>
    <row r="1494" spans="1:8" x14ac:dyDescent="0.2">
      <c r="A1494" s="1">
        <v>42345</v>
      </c>
      <c r="B1494">
        <v>763.25</v>
      </c>
      <c r="C1494" s="2">
        <f t="shared" si="101"/>
        <v>-4.6426076984978889E-3</v>
      </c>
      <c r="D1494">
        <v>-1.2448313243632629</v>
      </c>
      <c r="E1494" s="15">
        <v>0</v>
      </c>
      <c r="F1494">
        <f t="shared" si="104"/>
        <v>0.28192678420770723</v>
      </c>
      <c r="G1494">
        <f t="shared" si="102"/>
        <v>0</v>
      </c>
      <c r="H1494" t="e">
        <f t="shared" si="103"/>
        <v>#NUM!</v>
      </c>
    </row>
    <row r="1495" spans="1:8" x14ac:dyDescent="0.2">
      <c r="A1495" s="1">
        <v>42346</v>
      </c>
      <c r="B1495">
        <v>762.36999500000002</v>
      </c>
      <c r="C1495" s="2">
        <f t="shared" si="101"/>
        <v>-1.1529708483458668E-3</v>
      </c>
      <c r="D1495">
        <v>-0.75165447454909673</v>
      </c>
      <c r="E1495" s="15">
        <v>1</v>
      </c>
      <c r="F1495">
        <f t="shared" si="104"/>
        <v>2.7122220586785387E-2</v>
      </c>
      <c r="G1495">
        <f t="shared" si="102"/>
        <v>36.870137413719902</v>
      </c>
      <c r="H1495">
        <f t="shared" si="103"/>
        <v>-3.1333500535483334</v>
      </c>
    </row>
    <row r="1496" spans="1:8" x14ac:dyDescent="0.2">
      <c r="A1496" s="1">
        <v>42347</v>
      </c>
      <c r="B1496">
        <v>751.60998500000005</v>
      </c>
      <c r="C1496" s="2">
        <f t="shared" si="101"/>
        <v>-1.4113894920536538E-2</v>
      </c>
      <c r="D1496">
        <v>11.241328513019498</v>
      </c>
      <c r="E1496" s="15">
        <v>0</v>
      </c>
      <c r="F1496">
        <f t="shared" si="104"/>
        <v>176.50660346998438</v>
      </c>
      <c r="G1496">
        <f t="shared" si="102"/>
        <v>0</v>
      </c>
      <c r="H1496" t="e">
        <f t="shared" si="103"/>
        <v>#NUM!</v>
      </c>
    </row>
    <row r="1497" spans="1:8" x14ac:dyDescent="0.2">
      <c r="A1497" s="1">
        <v>42348</v>
      </c>
      <c r="B1497">
        <v>749.46002199999998</v>
      </c>
      <c r="C1497" s="2">
        <f t="shared" si="101"/>
        <v>-2.8604769001306847E-3</v>
      </c>
      <c r="D1497">
        <v>-0.79732902106501269</v>
      </c>
      <c r="E1497" s="15">
        <v>1</v>
      </c>
      <c r="F1497">
        <f t="shared" si="104"/>
        <v>15.124703377269219</v>
      </c>
      <c r="G1497">
        <f t="shared" si="102"/>
        <v>6.6116999127592224E-2</v>
      </c>
      <c r="H1497">
        <f t="shared" si="103"/>
        <v>-52327.246575068566</v>
      </c>
    </row>
    <row r="1498" spans="1:8" x14ac:dyDescent="0.2">
      <c r="A1498" s="1">
        <v>42349</v>
      </c>
      <c r="B1498">
        <v>738.86999500000002</v>
      </c>
      <c r="C1498" s="2">
        <f t="shared" si="101"/>
        <v>-1.4130209336235901E-2</v>
      </c>
      <c r="D1498">
        <v>3.9398089303186978</v>
      </c>
      <c r="E1498" s="15">
        <v>0</v>
      </c>
      <c r="F1498">
        <f t="shared" si="104"/>
        <v>1.2993052625502901</v>
      </c>
      <c r="G1498">
        <f t="shared" si="102"/>
        <v>0</v>
      </c>
      <c r="H1498" t="e">
        <f t="shared" si="103"/>
        <v>#NUM!</v>
      </c>
    </row>
    <row r="1499" spans="1:8" x14ac:dyDescent="0.2">
      <c r="A1499" s="1">
        <v>42352</v>
      </c>
      <c r="B1499">
        <v>747.77002000000005</v>
      </c>
      <c r="C1499" s="2">
        <f t="shared" si="101"/>
        <v>1.2045454626967262E-2</v>
      </c>
      <c r="D1499">
        <v>-1.8524611589495397</v>
      </c>
      <c r="E1499" s="15">
        <v>0</v>
      </c>
      <c r="F1499">
        <f t="shared" si="104"/>
        <v>0.11428341975997104</v>
      </c>
      <c r="G1499">
        <f t="shared" si="102"/>
        <v>0</v>
      </c>
      <c r="H1499" t="e">
        <f t="shared" si="103"/>
        <v>#NUM!</v>
      </c>
    </row>
    <row r="1500" spans="1:8" x14ac:dyDescent="0.2">
      <c r="A1500" s="1">
        <v>42353</v>
      </c>
      <c r="B1500">
        <v>743.40002400000003</v>
      </c>
      <c r="C1500" s="2">
        <f t="shared" si="101"/>
        <v>-5.8440374488402391E-3</v>
      </c>
      <c r="D1500">
        <v>-1.4851653698281058</v>
      </c>
      <c r="E1500" s="15">
        <v>0</v>
      </c>
      <c r="F1500">
        <f t="shared" si="104"/>
        <v>1.2759820565805415E-2</v>
      </c>
      <c r="G1500">
        <f t="shared" si="102"/>
        <v>0</v>
      </c>
      <c r="H1500" t="e">
        <f t="shared" si="103"/>
        <v>#NUM!</v>
      </c>
    </row>
    <row r="1501" spans="1:8" x14ac:dyDescent="0.2">
      <c r="A1501" s="1">
        <v>42354</v>
      </c>
      <c r="B1501">
        <v>758.09002699999996</v>
      </c>
      <c r="C1501" s="2">
        <f t="shared" si="101"/>
        <v>1.976056298862849E-2</v>
      </c>
      <c r="D1501">
        <v>-4.3813203905033182</v>
      </c>
      <c r="E1501" s="15">
        <v>0</v>
      </c>
      <c r="F1501">
        <f t="shared" si="104"/>
        <v>4.0620558317241862E-3</v>
      </c>
      <c r="G1501">
        <f t="shared" si="102"/>
        <v>0</v>
      </c>
      <c r="H1501" t="e">
        <f t="shared" si="103"/>
        <v>#NUM!</v>
      </c>
    </row>
    <row r="1502" spans="1:8" x14ac:dyDescent="0.2">
      <c r="A1502" s="1">
        <v>42355</v>
      </c>
      <c r="B1502">
        <v>749.42999299999997</v>
      </c>
      <c r="C1502" s="2">
        <f t="shared" si="101"/>
        <v>-1.1423490207713808E-2</v>
      </c>
      <c r="D1502">
        <v>-1.5780953819123285</v>
      </c>
      <c r="E1502" s="15">
        <v>1</v>
      </c>
      <c r="F1502">
        <f t="shared" si="104"/>
        <v>3.3168979376985517E-3</v>
      </c>
      <c r="G1502">
        <f t="shared" si="102"/>
        <v>301.48651504599974</v>
      </c>
      <c r="H1502">
        <f t="shared" si="103"/>
        <v>-4.9585357835073225</v>
      </c>
    </row>
    <row r="1503" spans="1:8" x14ac:dyDescent="0.2">
      <c r="A1503" s="1">
        <v>42356</v>
      </c>
      <c r="B1503">
        <v>739.30999799999995</v>
      </c>
      <c r="C1503" s="2">
        <f t="shared" si="101"/>
        <v>-1.3503589520735952E-2</v>
      </c>
      <c r="D1503">
        <v>0.18208964818979231</v>
      </c>
      <c r="E1503" s="15">
        <v>0</v>
      </c>
      <c r="F1503">
        <f t="shared" si="104"/>
        <v>11801.421614019035</v>
      </c>
      <c r="G1503">
        <f t="shared" si="102"/>
        <v>0</v>
      </c>
      <c r="H1503" t="e">
        <f t="shared" si="103"/>
        <v>#NUM!</v>
      </c>
    </row>
    <row r="1504" spans="1:8" x14ac:dyDescent="0.2">
      <c r="A1504" s="1">
        <v>42359</v>
      </c>
      <c r="B1504">
        <v>747.77002000000005</v>
      </c>
      <c r="C1504" s="2">
        <f t="shared" si="101"/>
        <v>1.1443132140626205E-2</v>
      </c>
      <c r="D1504">
        <v>-1.8474140985294516</v>
      </c>
      <c r="E1504" s="15">
        <v>0</v>
      </c>
      <c r="F1504">
        <f t="shared" si="104"/>
        <v>1011.058423399044</v>
      </c>
      <c r="G1504">
        <f t="shared" si="102"/>
        <v>0</v>
      </c>
      <c r="H1504" t="e">
        <f t="shared" si="103"/>
        <v>#NUM!</v>
      </c>
    </row>
    <row r="1505" spans="1:8" x14ac:dyDescent="0.2">
      <c r="A1505" s="1">
        <v>42360</v>
      </c>
      <c r="B1505">
        <v>750</v>
      </c>
      <c r="C1505" s="2">
        <f t="shared" si="101"/>
        <v>2.9821735832628793E-3</v>
      </c>
      <c r="D1505">
        <v>-0.73939184249429757</v>
      </c>
      <c r="E1505" s="15">
        <v>0</v>
      </c>
      <c r="F1505">
        <f t="shared" si="104"/>
        <v>86.622714142823611</v>
      </c>
      <c r="G1505">
        <f t="shared" si="102"/>
        <v>0</v>
      </c>
      <c r="H1505" t="e">
        <f t="shared" si="103"/>
        <v>#NUM!</v>
      </c>
    </row>
    <row r="1506" spans="1:8" x14ac:dyDescent="0.2">
      <c r="A1506" s="1">
        <v>42361</v>
      </c>
      <c r="B1506">
        <v>750.30999799999995</v>
      </c>
      <c r="C1506" s="2">
        <f t="shared" si="101"/>
        <v>4.1333066666660061E-4</v>
      </c>
      <c r="D1506">
        <v>-0.861399527852311</v>
      </c>
      <c r="E1506" s="15">
        <v>0</v>
      </c>
      <c r="F1506">
        <f t="shared" si="104"/>
        <v>7.4241398732443624</v>
      </c>
      <c r="G1506">
        <f t="shared" si="102"/>
        <v>0</v>
      </c>
      <c r="H1506" t="e">
        <f t="shared" si="103"/>
        <v>#NUM!</v>
      </c>
    </row>
    <row r="1507" spans="1:8" x14ac:dyDescent="0.2">
      <c r="A1507" s="1">
        <v>42362</v>
      </c>
      <c r="B1507">
        <v>748.40002400000003</v>
      </c>
      <c r="C1507" s="2">
        <f t="shared" si="101"/>
        <v>-2.5455798337901399E-3</v>
      </c>
      <c r="D1507">
        <v>-7.1587006217553339</v>
      </c>
      <c r="E1507" s="15">
        <v>0</v>
      </c>
      <c r="F1507">
        <f t="shared" si="104"/>
        <v>0.63901235866501038</v>
      </c>
      <c r="G1507">
        <f t="shared" si="102"/>
        <v>0</v>
      </c>
      <c r="H1507" t="e">
        <f t="shared" si="103"/>
        <v>#NUM!</v>
      </c>
    </row>
    <row r="1508" spans="1:8" x14ac:dyDescent="0.2">
      <c r="A1508" s="1">
        <v>42366</v>
      </c>
      <c r="B1508">
        <v>762.51000999999997</v>
      </c>
      <c r="C1508" s="2">
        <f t="shared" si="101"/>
        <v>1.8853534937887623E-2</v>
      </c>
      <c r="D1508">
        <v>-8.4063813232745499</v>
      </c>
      <c r="E1508" s="15">
        <v>0</v>
      </c>
      <c r="F1508">
        <f t="shared" si="104"/>
        <v>5.7714578828772886E-2</v>
      </c>
      <c r="G1508">
        <f t="shared" si="102"/>
        <v>0</v>
      </c>
      <c r="H1508" t="e">
        <f t="shared" si="103"/>
        <v>#NUM!</v>
      </c>
    </row>
    <row r="1509" spans="1:8" x14ac:dyDescent="0.2">
      <c r="A1509" s="1">
        <v>42367</v>
      </c>
      <c r="B1509">
        <v>776.59997599999997</v>
      </c>
      <c r="C1509" s="2">
        <f t="shared" si="101"/>
        <v>1.847840135239668E-2</v>
      </c>
      <c r="D1509">
        <v>-1.9897254638284512E-2</v>
      </c>
      <c r="E1509" s="15">
        <v>0</v>
      </c>
      <c r="F1509">
        <f t="shared" si="104"/>
        <v>7.9134353548336814E-3</v>
      </c>
      <c r="G1509">
        <f t="shared" si="102"/>
        <v>0</v>
      </c>
      <c r="H1509" t="e">
        <f t="shared" si="103"/>
        <v>#NUM!</v>
      </c>
    </row>
    <row r="1510" spans="1:8" x14ac:dyDescent="0.2">
      <c r="A1510" s="1">
        <v>42368</v>
      </c>
      <c r="B1510">
        <v>771</v>
      </c>
      <c r="C1510" s="2">
        <f t="shared" si="101"/>
        <v>-7.2108887111270907E-3</v>
      </c>
      <c r="D1510">
        <v>-1.3902333634609483</v>
      </c>
      <c r="E1510" s="15">
        <v>1</v>
      </c>
      <c r="F1510">
        <f t="shared" si="104"/>
        <v>3.6468546498280938E-3</v>
      </c>
      <c r="G1510">
        <f t="shared" si="102"/>
        <v>274.20889945453081</v>
      </c>
      <c r="H1510">
        <f t="shared" si="103"/>
        <v>-4.8761630916110352</v>
      </c>
    </row>
    <row r="1511" spans="1:8" x14ac:dyDescent="0.2">
      <c r="A1511" s="1">
        <v>42369</v>
      </c>
      <c r="B1511">
        <v>758.88000499999998</v>
      </c>
      <c r="C1511" s="2">
        <f t="shared" si="101"/>
        <v>-1.571983787289237E-2</v>
      </c>
      <c r="D1511">
        <v>1.1800139348476086</v>
      </c>
      <c r="E1511" s="15">
        <v>1</v>
      </c>
      <c r="F1511">
        <f t="shared" si="104"/>
        <v>9762.5137916887397</v>
      </c>
      <c r="G1511">
        <f t="shared" si="102"/>
        <v>1.0243263378038393E-4</v>
      </c>
      <c r="H1511">
        <f t="shared" si="103"/>
        <v>-9083362401135922</v>
      </c>
    </row>
    <row r="1512" spans="1:8" x14ac:dyDescent="0.2">
      <c r="A1512" s="1">
        <v>42373</v>
      </c>
      <c r="B1512">
        <v>741.84002699999996</v>
      </c>
      <c r="C1512" s="2">
        <f t="shared" si="101"/>
        <v>-2.2454113809468493E-2</v>
      </c>
      <c r="D1512">
        <v>0.42839347269534217</v>
      </c>
      <c r="E1512" s="15">
        <v>0</v>
      </c>
      <c r="F1512">
        <f t="shared" si="104"/>
        <v>836.38041066377821</v>
      </c>
      <c r="G1512">
        <f t="shared" si="102"/>
        <v>0</v>
      </c>
      <c r="H1512" t="e">
        <f t="shared" si="103"/>
        <v>#NUM!</v>
      </c>
    </row>
    <row r="1513" spans="1:8" x14ac:dyDescent="0.2">
      <c r="A1513" s="1">
        <v>42374</v>
      </c>
      <c r="B1513">
        <v>742.580017</v>
      </c>
      <c r="C1513" s="2">
        <f t="shared" si="101"/>
        <v>9.9750616449283927E-4</v>
      </c>
      <c r="D1513">
        <v>-1.0444242054243178</v>
      </c>
      <c r="E1513" s="15">
        <v>1</v>
      </c>
      <c r="F1513">
        <f t="shared" si="104"/>
        <v>71.657639312463388</v>
      </c>
      <c r="G1513">
        <f t="shared" si="102"/>
        <v>1.3955246217915392E-2</v>
      </c>
      <c r="H1513">
        <f t="shared" si="103"/>
        <v>-26366344.704611048</v>
      </c>
    </row>
    <row r="1514" spans="1:8" x14ac:dyDescent="0.2">
      <c r="A1514" s="1">
        <v>42375</v>
      </c>
      <c r="B1514">
        <v>743.61999500000002</v>
      </c>
      <c r="C1514" s="2">
        <f t="shared" si="101"/>
        <v>1.4004928441267485E-3</v>
      </c>
      <c r="D1514">
        <v>0.4039941746513408</v>
      </c>
      <c r="E1514" s="15">
        <v>0</v>
      </c>
      <c r="F1514">
        <f t="shared" si="104"/>
        <v>6.1420721170829813</v>
      </c>
      <c r="G1514">
        <f t="shared" si="102"/>
        <v>0</v>
      </c>
      <c r="H1514" t="e">
        <f t="shared" si="103"/>
        <v>#NUM!</v>
      </c>
    </row>
    <row r="1515" spans="1:8" x14ac:dyDescent="0.2">
      <c r="A1515" s="1">
        <v>42376</v>
      </c>
      <c r="B1515">
        <v>726.39001499999995</v>
      </c>
      <c r="C1515" s="2">
        <f t="shared" si="101"/>
        <v>-2.3170409773610335E-2</v>
      </c>
      <c r="D1515">
        <v>-17.544468521049687</v>
      </c>
      <c r="E1515" s="15">
        <v>0</v>
      </c>
      <c r="F1515">
        <f t="shared" si="104"/>
        <v>0.52917460857779763</v>
      </c>
      <c r="G1515">
        <f t="shared" si="102"/>
        <v>0</v>
      </c>
      <c r="H1515" t="e">
        <f t="shared" si="103"/>
        <v>#NUM!</v>
      </c>
    </row>
    <row r="1516" spans="1:8" x14ac:dyDescent="0.2">
      <c r="A1516" s="1">
        <v>42377</v>
      </c>
      <c r="B1516">
        <v>714.46997099999999</v>
      </c>
      <c r="C1516" s="2">
        <f t="shared" si="101"/>
        <v>-1.6409977772065001E-2</v>
      </c>
      <c r="D1516">
        <v>-0.29177006654604132</v>
      </c>
      <c r="E1516" s="15">
        <v>0</v>
      </c>
      <c r="F1516">
        <f t="shared" si="104"/>
        <v>4.8304521297693075E-2</v>
      </c>
      <c r="G1516">
        <f t="shared" si="102"/>
        <v>0</v>
      </c>
      <c r="H1516" t="e">
        <f t="shared" si="103"/>
        <v>#NUM!</v>
      </c>
    </row>
    <row r="1517" spans="1:8" x14ac:dyDescent="0.2">
      <c r="A1517" s="1">
        <v>42380</v>
      </c>
      <c r="B1517">
        <v>716.03002900000001</v>
      </c>
      <c r="C1517" s="2">
        <f t="shared" si="101"/>
        <v>2.1835179410220817E-3</v>
      </c>
      <c r="D1517">
        <v>-1.1330603838317883</v>
      </c>
      <c r="E1517" s="15">
        <v>1</v>
      </c>
      <c r="F1517">
        <f t="shared" si="104"/>
        <v>7.1072536671359411E-3</v>
      </c>
      <c r="G1517">
        <f t="shared" si="102"/>
        <v>140.70132386353629</v>
      </c>
      <c r="H1517">
        <f t="shared" si="103"/>
        <v>-4.2965963700425771</v>
      </c>
    </row>
    <row r="1518" spans="1:8" x14ac:dyDescent="0.2">
      <c r="A1518" s="1">
        <v>42381</v>
      </c>
      <c r="B1518">
        <v>726.07000700000003</v>
      </c>
      <c r="C1518" s="2">
        <f t="shared" si="101"/>
        <v>1.4021727571987094E-2</v>
      </c>
      <c r="D1518">
        <v>5.4216223318154517</v>
      </c>
      <c r="E1518" s="15">
        <v>0</v>
      </c>
      <c r="F1518">
        <f t="shared" si="104"/>
        <v>2570.3685280630871</v>
      </c>
      <c r="G1518">
        <f t="shared" si="102"/>
        <v>0</v>
      </c>
      <c r="H1518" t="e">
        <f t="shared" si="103"/>
        <v>#NUM!</v>
      </c>
    </row>
    <row r="1519" spans="1:8" x14ac:dyDescent="0.2">
      <c r="A1519" s="1">
        <v>42382</v>
      </c>
      <c r="B1519">
        <v>700.55999799999995</v>
      </c>
      <c r="C1519" s="2">
        <f t="shared" si="101"/>
        <v>-3.513436549376716E-2</v>
      </c>
      <c r="D1519">
        <v>-3.5057087518915533</v>
      </c>
      <c r="E1519" s="15">
        <v>0</v>
      </c>
      <c r="F1519">
        <f t="shared" si="104"/>
        <v>220.2124661363959</v>
      </c>
      <c r="G1519">
        <f t="shared" si="102"/>
        <v>0</v>
      </c>
      <c r="H1519" t="e">
        <f t="shared" si="103"/>
        <v>#NUM!</v>
      </c>
    </row>
    <row r="1520" spans="1:8" x14ac:dyDescent="0.2">
      <c r="A1520" s="1">
        <v>42383</v>
      </c>
      <c r="B1520">
        <v>714.71997099999999</v>
      </c>
      <c r="C1520" s="2">
        <f t="shared" si="101"/>
        <v>2.0212363024472942E-2</v>
      </c>
      <c r="D1520">
        <v>-1.5752875493954379</v>
      </c>
      <c r="E1520" s="15">
        <v>0</v>
      </c>
      <c r="F1520">
        <f t="shared" si="104"/>
        <v>18.869087086966911</v>
      </c>
      <c r="G1520">
        <f t="shared" si="102"/>
        <v>0</v>
      </c>
      <c r="H1520" t="e">
        <f t="shared" si="103"/>
        <v>#NUM!</v>
      </c>
    </row>
    <row r="1521" spans="1:8" x14ac:dyDescent="0.2">
      <c r="A1521" s="1">
        <v>42384</v>
      </c>
      <c r="B1521">
        <v>694.45001200000002</v>
      </c>
      <c r="C1521" s="2">
        <f t="shared" si="101"/>
        <v>-2.836070044557349E-2</v>
      </c>
      <c r="D1521">
        <v>-2.4031363087648199</v>
      </c>
      <c r="E1521" s="15">
        <v>0</v>
      </c>
      <c r="F1521">
        <f t="shared" si="104"/>
        <v>1.6195278156530433</v>
      </c>
      <c r="G1521">
        <f t="shared" si="102"/>
        <v>0</v>
      </c>
      <c r="H1521" t="e">
        <f t="shared" si="103"/>
        <v>#NUM!</v>
      </c>
    </row>
    <row r="1522" spans="1:8" x14ac:dyDescent="0.2">
      <c r="A1522" s="1">
        <v>42388</v>
      </c>
      <c r="B1522">
        <v>701.78997800000002</v>
      </c>
      <c r="C1522" s="2">
        <f t="shared" si="101"/>
        <v>1.0569466301629214E-2</v>
      </c>
      <c r="D1522">
        <v>-1.3726800162045676</v>
      </c>
      <c r="E1522" s="15">
        <v>0</v>
      </c>
      <c r="F1522">
        <f t="shared" si="104"/>
        <v>0.14171763654840264</v>
      </c>
      <c r="G1522">
        <f t="shared" si="102"/>
        <v>0</v>
      </c>
      <c r="H1522" t="e">
        <f t="shared" si="103"/>
        <v>#NUM!</v>
      </c>
    </row>
    <row r="1523" spans="1:8" x14ac:dyDescent="0.2">
      <c r="A1523" s="1">
        <v>42389</v>
      </c>
      <c r="B1523">
        <v>698.45001200000002</v>
      </c>
      <c r="C1523" s="2">
        <f t="shared" si="101"/>
        <v>-4.7592101692851534E-3</v>
      </c>
      <c r="D1523">
        <v>-1.4502791374197912</v>
      </c>
      <c r="E1523" s="15">
        <v>0</v>
      </c>
      <c r="F1523">
        <f t="shared" si="104"/>
        <v>1.5110174229225105E-2</v>
      </c>
      <c r="G1523">
        <f t="shared" si="102"/>
        <v>0</v>
      </c>
      <c r="H1523" t="e">
        <f t="shared" si="103"/>
        <v>#NUM!</v>
      </c>
    </row>
    <row r="1524" spans="1:8" x14ac:dyDescent="0.2">
      <c r="A1524" s="1">
        <v>42390</v>
      </c>
      <c r="B1524">
        <v>706.59002699999996</v>
      </c>
      <c r="C1524" s="2">
        <f t="shared" si="101"/>
        <v>1.1654398826182494E-2</v>
      </c>
      <c r="D1524">
        <v>-3.4488094477098952</v>
      </c>
      <c r="E1524" s="15">
        <v>1</v>
      </c>
      <c r="F1524">
        <f t="shared" si="104"/>
        <v>4.2634161397567373E-3</v>
      </c>
      <c r="G1524">
        <f t="shared" si="102"/>
        <v>234.55369291186719</v>
      </c>
      <c r="H1524">
        <f t="shared" si="103"/>
        <v>-4.7404845504339077</v>
      </c>
    </row>
    <row r="1525" spans="1:8" x14ac:dyDescent="0.2">
      <c r="A1525" s="1">
        <v>42391</v>
      </c>
      <c r="B1525">
        <v>725.25</v>
      </c>
      <c r="C1525" s="2">
        <f t="shared" si="101"/>
        <v>2.6408486232427447E-2</v>
      </c>
      <c r="D1525">
        <v>1.2659672649179272</v>
      </c>
      <c r="E1525" s="15">
        <v>0</v>
      </c>
      <c r="F1525">
        <f t="shared" si="104"/>
        <v>7143.0415413785695</v>
      </c>
      <c r="G1525">
        <f t="shared" si="102"/>
        <v>0</v>
      </c>
      <c r="H1525" t="e">
        <f t="shared" si="103"/>
        <v>#NUM!</v>
      </c>
    </row>
    <row r="1526" spans="1:8" x14ac:dyDescent="0.2">
      <c r="A1526" s="1">
        <v>42394</v>
      </c>
      <c r="B1526">
        <v>711.669983</v>
      </c>
      <c r="C1526" s="2">
        <f t="shared" si="101"/>
        <v>-1.872460117200965E-2</v>
      </c>
      <c r="D1526">
        <v>-1.7090372771543938</v>
      </c>
      <c r="E1526" s="15">
        <v>0</v>
      </c>
      <c r="F1526">
        <f t="shared" si="104"/>
        <v>611.96408242450298</v>
      </c>
      <c r="G1526">
        <f t="shared" si="102"/>
        <v>0</v>
      </c>
      <c r="H1526" t="e">
        <f t="shared" si="103"/>
        <v>#NUM!</v>
      </c>
    </row>
    <row r="1527" spans="1:8" x14ac:dyDescent="0.2">
      <c r="A1527" s="1">
        <v>42395</v>
      </c>
      <c r="B1527">
        <v>713.03997800000002</v>
      </c>
      <c r="C1527" s="2">
        <f t="shared" si="101"/>
        <v>1.9250425516401429E-3</v>
      </c>
      <c r="D1527">
        <v>-1.1028082005035056</v>
      </c>
      <c r="E1527" s="15">
        <v>0</v>
      </c>
      <c r="F1527">
        <f t="shared" si="104"/>
        <v>52.431366396562481</v>
      </c>
      <c r="G1527">
        <f t="shared" si="102"/>
        <v>0</v>
      </c>
      <c r="H1527" t="e">
        <f t="shared" si="103"/>
        <v>#NUM!</v>
      </c>
    </row>
    <row r="1528" spans="1:8" x14ac:dyDescent="0.2">
      <c r="A1528" s="1">
        <v>42396</v>
      </c>
      <c r="B1528">
        <v>699.98999000000003</v>
      </c>
      <c r="C1528" s="2">
        <f t="shared" si="101"/>
        <v>-1.8301902281277115E-2</v>
      </c>
      <c r="D1528">
        <v>-10.507271548716588</v>
      </c>
      <c r="E1528" s="15">
        <v>0</v>
      </c>
      <c r="F1528">
        <f t="shared" si="104"/>
        <v>4.4948869606345809</v>
      </c>
      <c r="G1528">
        <f t="shared" si="102"/>
        <v>0</v>
      </c>
      <c r="H1528" t="e">
        <f t="shared" si="103"/>
        <v>#NUM!</v>
      </c>
    </row>
    <row r="1529" spans="1:8" x14ac:dyDescent="0.2">
      <c r="A1529" s="1">
        <v>42397</v>
      </c>
      <c r="B1529">
        <v>730.96002199999998</v>
      </c>
      <c r="C1529" s="2">
        <f t="shared" si="101"/>
        <v>4.4243535539701E-2</v>
      </c>
      <c r="D1529">
        <v>-3.417428246514147</v>
      </c>
      <c r="E1529" s="15">
        <v>0</v>
      </c>
      <c r="F1529">
        <f t="shared" si="104"/>
        <v>0.38805639490159943</v>
      </c>
      <c r="G1529">
        <f t="shared" si="102"/>
        <v>0</v>
      </c>
      <c r="H1529" t="e">
        <f t="shared" si="103"/>
        <v>#NUM!</v>
      </c>
    </row>
    <row r="1530" spans="1:8" x14ac:dyDescent="0.2">
      <c r="A1530" s="1">
        <v>42398</v>
      </c>
      <c r="B1530">
        <v>742.95001200000002</v>
      </c>
      <c r="C1530" s="2">
        <f t="shared" si="101"/>
        <v>1.6403072177865338E-2</v>
      </c>
      <c r="D1530">
        <v>-0.62925494136547044</v>
      </c>
      <c r="E1530" s="15">
        <v>0</v>
      </c>
      <c r="F1530">
        <f t="shared" si="104"/>
        <v>3.6214593123437479E-2</v>
      </c>
      <c r="G1530">
        <f t="shared" si="102"/>
        <v>0</v>
      </c>
      <c r="H1530" t="e">
        <f t="shared" si="103"/>
        <v>#NUM!</v>
      </c>
    </row>
    <row r="1531" spans="1:8" x14ac:dyDescent="0.2">
      <c r="A1531" s="1">
        <v>42401</v>
      </c>
      <c r="B1531">
        <v>752</v>
      </c>
      <c r="C1531" s="2">
        <f t="shared" si="101"/>
        <v>1.2181153312909542E-2</v>
      </c>
      <c r="D1531">
        <v>-0.25738586157372062</v>
      </c>
      <c r="E1531" s="15">
        <v>1</v>
      </c>
      <c r="F1531">
        <f t="shared" si="104"/>
        <v>6.071481179297877E-3</v>
      </c>
      <c r="G1531">
        <f t="shared" si="102"/>
        <v>164.70445521757227</v>
      </c>
      <c r="H1531">
        <f t="shared" si="103"/>
        <v>-4.433410695147538</v>
      </c>
    </row>
    <row r="1532" spans="1:8" x14ac:dyDescent="0.2">
      <c r="A1532" s="1">
        <v>42402</v>
      </c>
      <c r="B1532">
        <v>764.65002400000003</v>
      </c>
      <c r="C1532" s="2">
        <f t="shared" si="101"/>
        <v>1.6821840425531955E-2</v>
      </c>
      <c r="D1532">
        <v>0.38097272018604583</v>
      </c>
      <c r="E1532" s="15">
        <v>0</v>
      </c>
      <c r="F1532">
        <f t="shared" si="104"/>
        <v>3522.1637824076602</v>
      </c>
      <c r="G1532">
        <f t="shared" si="102"/>
        <v>0</v>
      </c>
      <c r="H1532" t="e">
        <f t="shared" si="103"/>
        <v>#NUM!</v>
      </c>
    </row>
    <row r="1533" spans="1:8" x14ac:dyDescent="0.2">
      <c r="A1533" s="1">
        <v>42403</v>
      </c>
      <c r="B1533">
        <v>726.95001200000002</v>
      </c>
      <c r="C1533" s="2">
        <f t="shared" si="101"/>
        <v>-4.9303617101566999E-2</v>
      </c>
      <c r="D1533">
        <v>-3.9309288314692759</v>
      </c>
      <c r="E1533" s="15">
        <v>0</v>
      </c>
      <c r="F1533">
        <f t="shared" si="104"/>
        <v>301.75499676980405</v>
      </c>
      <c r="G1533">
        <f t="shared" si="102"/>
        <v>0</v>
      </c>
      <c r="H1533" t="e">
        <f t="shared" si="103"/>
        <v>#NUM!</v>
      </c>
    </row>
    <row r="1534" spans="1:8" x14ac:dyDescent="0.2">
      <c r="A1534" s="1">
        <v>42404</v>
      </c>
      <c r="B1534">
        <v>708.01000999999997</v>
      </c>
      <c r="C1534" s="2">
        <f t="shared" si="101"/>
        <v>-2.6054063810924111E-2</v>
      </c>
      <c r="D1534">
        <v>-0.47155877514520034</v>
      </c>
      <c r="E1534" s="15">
        <v>1</v>
      </c>
      <c r="F1534">
        <f t="shared" si="104"/>
        <v>25.855026837926353</v>
      </c>
      <c r="G1534">
        <f t="shared" si="102"/>
        <v>3.8677198297590427E-2</v>
      </c>
      <c r="H1534">
        <f t="shared" si="103"/>
        <v>-446865.91111940978</v>
      </c>
    </row>
    <row r="1535" spans="1:8" x14ac:dyDescent="0.2">
      <c r="A1535" s="1">
        <v>42405</v>
      </c>
      <c r="B1535">
        <v>683.57000700000003</v>
      </c>
      <c r="C1535" s="2">
        <f t="shared" si="101"/>
        <v>-3.4519290200430833E-2</v>
      </c>
      <c r="D1535">
        <v>0.32491001983181478</v>
      </c>
      <c r="E1535" s="15">
        <v>0</v>
      </c>
      <c r="F1535">
        <f t="shared" si="104"/>
        <v>2.2182238770020017</v>
      </c>
      <c r="G1535">
        <f t="shared" si="102"/>
        <v>0</v>
      </c>
      <c r="H1535" t="e">
        <f t="shared" si="103"/>
        <v>#NUM!</v>
      </c>
    </row>
    <row r="1536" spans="1:8" x14ac:dyDescent="0.2">
      <c r="A1536" s="1">
        <v>42408</v>
      </c>
      <c r="B1536">
        <v>682.73999000000003</v>
      </c>
      <c r="C1536" s="2">
        <f t="shared" si="101"/>
        <v>-1.2142384708227814E-3</v>
      </c>
      <c r="D1536">
        <v>-0.96482434998597899</v>
      </c>
      <c r="E1536" s="15">
        <v>1</v>
      </c>
      <c r="F1536">
        <f t="shared" si="104"/>
        <v>0.19300933158450176</v>
      </c>
      <c r="G1536">
        <f t="shared" si="102"/>
        <v>5.1810966433101617</v>
      </c>
      <c r="H1536">
        <f t="shared" si="103"/>
        <v>-1.430231142929647</v>
      </c>
    </row>
    <row r="1537" spans="1:8" x14ac:dyDescent="0.2">
      <c r="A1537" s="1">
        <v>42409</v>
      </c>
      <c r="B1537">
        <v>678.10998500000005</v>
      </c>
      <c r="C1537" s="2">
        <f t="shared" si="101"/>
        <v>-6.7815055040206197E-3</v>
      </c>
      <c r="D1537">
        <v>4.5849865302203749</v>
      </c>
      <c r="E1537" s="15">
        <v>0</v>
      </c>
      <c r="F1537">
        <f t="shared" si="104"/>
        <v>3.5048176417612424</v>
      </c>
      <c r="G1537">
        <f t="shared" si="102"/>
        <v>0</v>
      </c>
      <c r="H1537" t="e">
        <f t="shared" si="103"/>
        <v>#NUM!</v>
      </c>
    </row>
    <row r="1538" spans="1:8" x14ac:dyDescent="0.2">
      <c r="A1538" s="1">
        <v>42410</v>
      </c>
      <c r="B1538">
        <v>684.11999500000002</v>
      </c>
      <c r="C1538" s="2">
        <f t="shared" si="101"/>
        <v>8.8628837990049145E-3</v>
      </c>
      <c r="D1538">
        <v>-2.306919797344452</v>
      </c>
      <c r="E1538" s="15">
        <v>0</v>
      </c>
      <c r="F1538">
        <f t="shared" si="104"/>
        <v>0.30323483543813995</v>
      </c>
      <c r="G1538">
        <f t="shared" si="102"/>
        <v>0</v>
      </c>
      <c r="H1538" t="e">
        <f t="shared" si="103"/>
        <v>#NUM!</v>
      </c>
    </row>
    <row r="1539" spans="1:8" x14ac:dyDescent="0.2">
      <c r="A1539" s="1">
        <v>42411</v>
      </c>
      <c r="B1539">
        <v>683.10998500000005</v>
      </c>
      <c r="C1539" s="2">
        <f t="shared" si="101"/>
        <v>-1.4763638066154837E-3</v>
      </c>
      <c r="D1539">
        <v>-1.1665782650542302</v>
      </c>
      <c r="E1539" s="15">
        <v>0</v>
      </c>
      <c r="F1539">
        <f t="shared" si="104"/>
        <v>2.8947731285924438E-2</v>
      </c>
      <c r="G1539">
        <f t="shared" si="102"/>
        <v>0</v>
      </c>
      <c r="H1539" t="e">
        <f t="shared" si="103"/>
        <v>#NUM!</v>
      </c>
    </row>
    <row r="1540" spans="1:8" x14ac:dyDescent="0.2">
      <c r="A1540" s="1">
        <v>42412</v>
      </c>
      <c r="B1540">
        <v>682.40002400000003</v>
      </c>
      <c r="C1540" s="2">
        <f t="shared" ref="C1540:C1603" si="105">(B1540-B1539)/B1539</f>
        <v>-1.0393070158387762E-3</v>
      </c>
      <c r="D1540">
        <v>-0.29603596946652738</v>
      </c>
      <c r="E1540" s="15">
        <v>0</v>
      </c>
      <c r="F1540">
        <f t="shared" si="104"/>
        <v>5.4489120907367031E-3</v>
      </c>
      <c r="G1540">
        <f t="shared" si="102"/>
        <v>0</v>
      </c>
      <c r="H1540" t="e">
        <f t="shared" si="103"/>
        <v>#NUM!</v>
      </c>
    </row>
    <row r="1541" spans="1:8" x14ac:dyDescent="0.2">
      <c r="A1541" s="1">
        <v>42416</v>
      </c>
      <c r="B1541">
        <v>691</v>
      </c>
      <c r="C1541" s="2">
        <f t="shared" si="105"/>
        <v>1.2602543519253993E-2</v>
      </c>
      <c r="D1541">
        <v>-13.125910175909924</v>
      </c>
      <c r="E1541" s="15">
        <v>1</v>
      </c>
      <c r="F1541">
        <f t="shared" si="104"/>
        <v>3.4357131644697091E-3</v>
      </c>
      <c r="G1541">
        <f t="shared" si="102"/>
        <v>291.06038604778195</v>
      </c>
      <c r="H1541">
        <f t="shared" si="103"/>
        <v>-4.9279662022120077</v>
      </c>
    </row>
    <row r="1542" spans="1:8" x14ac:dyDescent="0.2">
      <c r="A1542" s="1">
        <v>42417</v>
      </c>
      <c r="B1542">
        <v>708.40002400000003</v>
      </c>
      <c r="C1542" s="2">
        <f t="shared" si="105"/>
        <v>2.5180931982633908E-2</v>
      </c>
      <c r="D1542">
        <v>0.99808331898737945</v>
      </c>
      <c r="E1542" s="15">
        <v>0</v>
      </c>
      <c r="F1542">
        <f t="shared" si="104"/>
        <v>10999.292568490619</v>
      </c>
      <c r="G1542">
        <f t="shared" si="102"/>
        <v>0</v>
      </c>
      <c r="H1542" t="e">
        <f t="shared" si="103"/>
        <v>#NUM!</v>
      </c>
    </row>
    <row r="1543" spans="1:8" x14ac:dyDescent="0.2">
      <c r="A1543" s="1">
        <v>42418</v>
      </c>
      <c r="B1543">
        <v>697.34997599999997</v>
      </c>
      <c r="C1543" s="2">
        <f t="shared" si="105"/>
        <v>-1.5598599132740939E-2</v>
      </c>
      <c r="D1543">
        <v>-1.6194607548083824</v>
      </c>
      <c r="E1543" s="15">
        <v>0</v>
      </c>
      <c r="F1543">
        <f t="shared" si="104"/>
        <v>942.33814772169956</v>
      </c>
      <c r="G1543">
        <f t="shared" si="102"/>
        <v>0</v>
      </c>
      <c r="H1543" t="e">
        <f t="shared" si="103"/>
        <v>#NUM!</v>
      </c>
    </row>
    <row r="1544" spans="1:8" x14ac:dyDescent="0.2">
      <c r="A1544" s="1">
        <v>42419</v>
      </c>
      <c r="B1544">
        <v>700.90997300000004</v>
      </c>
      <c r="C1544" s="2">
        <f t="shared" si="105"/>
        <v>5.1050363841986662E-3</v>
      </c>
      <c r="D1544">
        <v>-1.3272753111196611</v>
      </c>
      <c r="E1544" s="15">
        <v>1</v>
      </c>
      <c r="F1544">
        <f t="shared" si="104"/>
        <v>80.735287031816526</v>
      </c>
      <c r="G1544">
        <f t="shared" ref="G1544:G1607" si="106">E1544/F1544</f>
        <v>1.2386157735537813E-2</v>
      </c>
      <c r="H1544">
        <f t="shared" ref="H1544:H1607" si="107">-LOG(G1544^2)-(F1544^2)/(G1544^2)</f>
        <v>-42486752.374705739</v>
      </c>
    </row>
    <row r="1545" spans="1:8" x14ac:dyDescent="0.2">
      <c r="A1545" s="1">
        <v>42422</v>
      </c>
      <c r="B1545">
        <v>706.46002199999998</v>
      </c>
      <c r="C1545" s="2">
        <f t="shared" si="105"/>
        <v>7.9183478817470669E-3</v>
      </c>
      <c r="D1545">
        <v>0.5510854939753782</v>
      </c>
      <c r="E1545" s="15">
        <v>0</v>
      </c>
      <c r="F1545">
        <f t="shared" ref="F1545:F1608" si="108" xml:space="preserve"> $K$5 + $K$6 * G1544 ^ 2 + $K$7 * F1544</f>
        <v>6.9197701105552287</v>
      </c>
      <c r="G1545">
        <f t="shared" si="106"/>
        <v>0</v>
      </c>
      <c r="H1545" t="e">
        <f t="shared" si="107"/>
        <v>#NUM!</v>
      </c>
    </row>
    <row r="1546" spans="1:8" x14ac:dyDescent="0.2">
      <c r="A1546" s="1">
        <v>42423</v>
      </c>
      <c r="B1546">
        <v>695.84997599999997</v>
      </c>
      <c r="C1546" s="2">
        <f t="shared" si="105"/>
        <v>-1.5018607804533363E-2</v>
      </c>
      <c r="D1546">
        <v>-2.896684514095853</v>
      </c>
      <c r="E1546" s="15">
        <v>0</v>
      </c>
      <c r="F1546">
        <f t="shared" si="108"/>
        <v>0.59580181875433924</v>
      </c>
      <c r="G1546">
        <f t="shared" si="106"/>
        <v>0</v>
      </c>
      <c r="H1546" t="e">
        <f t="shared" si="107"/>
        <v>#NUM!</v>
      </c>
    </row>
    <row r="1547" spans="1:8" x14ac:dyDescent="0.2">
      <c r="A1547" s="1">
        <v>42424</v>
      </c>
      <c r="B1547">
        <v>699.55999799999995</v>
      </c>
      <c r="C1547" s="2">
        <f t="shared" si="105"/>
        <v>5.3316406236392265E-3</v>
      </c>
      <c r="D1547">
        <v>-1.3550023206565041</v>
      </c>
      <c r="E1547" s="15">
        <v>1</v>
      </c>
      <c r="F1547">
        <f t="shared" si="108"/>
        <v>5.4012630580692618E-2</v>
      </c>
      <c r="G1547">
        <f t="shared" si="106"/>
        <v>18.514188056551731</v>
      </c>
      <c r="H1547">
        <f t="shared" si="107"/>
        <v>-2.5350178524763574</v>
      </c>
    </row>
    <row r="1548" spans="1:8" x14ac:dyDescent="0.2">
      <c r="A1548" s="1">
        <v>42425</v>
      </c>
      <c r="B1548">
        <v>705.75</v>
      </c>
      <c r="C1548" s="2">
        <f t="shared" si="105"/>
        <v>8.8484218904695718E-3</v>
      </c>
      <c r="D1548">
        <v>0.6596058352541192</v>
      </c>
      <c r="E1548" s="15">
        <v>0</v>
      </c>
      <c r="F1548">
        <f t="shared" si="108"/>
        <v>44.512489613509601</v>
      </c>
      <c r="G1548">
        <f t="shared" si="106"/>
        <v>0</v>
      </c>
      <c r="H1548" t="e">
        <f t="shared" si="107"/>
        <v>#NUM!</v>
      </c>
    </row>
    <row r="1549" spans="1:8" x14ac:dyDescent="0.2">
      <c r="A1549" s="1">
        <v>42426</v>
      </c>
      <c r="B1549">
        <v>705.07000700000003</v>
      </c>
      <c r="C1549" s="2">
        <f t="shared" si="105"/>
        <v>-9.6350407368043589E-4</v>
      </c>
      <c r="D1549">
        <v>-1.1088899337765759</v>
      </c>
      <c r="E1549" s="15">
        <v>1</v>
      </c>
      <c r="F1549">
        <f t="shared" si="108"/>
        <v>3.8164582232388118</v>
      </c>
      <c r="G1549">
        <f t="shared" si="106"/>
        <v>0.26202304375058943</v>
      </c>
      <c r="H1549">
        <f t="shared" si="107"/>
        <v>-210.9861977595213</v>
      </c>
    </row>
    <row r="1550" spans="1:8" x14ac:dyDescent="0.2">
      <c r="A1550" s="1">
        <v>42429</v>
      </c>
      <c r="B1550">
        <v>697.77002000000005</v>
      </c>
      <c r="C1550" s="2">
        <f t="shared" si="105"/>
        <v>-1.0353563373175775E-2</v>
      </c>
      <c r="D1550">
        <v>9.7457390746951091</v>
      </c>
      <c r="E1550" s="15">
        <v>0</v>
      </c>
      <c r="F1550">
        <f t="shared" si="108"/>
        <v>0.33884791245968121</v>
      </c>
      <c r="G1550">
        <f t="shared" si="106"/>
        <v>0</v>
      </c>
      <c r="H1550" t="e">
        <f t="shared" si="107"/>
        <v>#NUM!</v>
      </c>
    </row>
    <row r="1551" spans="1:8" x14ac:dyDescent="0.2">
      <c r="A1551" s="1">
        <v>42430</v>
      </c>
      <c r="B1551">
        <v>718.80999799999995</v>
      </c>
      <c r="C1551" s="2">
        <f t="shared" si="105"/>
        <v>3.0153169951325658E-2</v>
      </c>
      <c r="D1551">
        <v>-3.9123470697486735</v>
      </c>
      <c r="E1551" s="15">
        <v>0</v>
      </c>
      <c r="F1551">
        <f t="shared" si="108"/>
        <v>3.1998787078358175E-2</v>
      </c>
      <c r="G1551">
        <f t="shared" si="106"/>
        <v>0</v>
      </c>
      <c r="H1551" t="e">
        <f t="shared" si="107"/>
        <v>#NUM!</v>
      </c>
    </row>
    <row r="1552" spans="1:8" x14ac:dyDescent="0.2">
      <c r="A1552" s="1">
        <v>42431</v>
      </c>
      <c r="B1552">
        <v>718.84997599999997</v>
      </c>
      <c r="C1552" s="2">
        <f t="shared" si="105"/>
        <v>5.561692256820719E-5</v>
      </c>
      <c r="D1552">
        <v>-0.99815551987873963</v>
      </c>
      <c r="E1552" s="15">
        <v>0</v>
      </c>
      <c r="F1552">
        <f t="shared" si="108"/>
        <v>5.7103031927443378E-3</v>
      </c>
      <c r="G1552">
        <f t="shared" si="106"/>
        <v>0</v>
      </c>
      <c r="H1552" t="e">
        <f t="shared" si="107"/>
        <v>#NUM!</v>
      </c>
    </row>
    <row r="1553" spans="1:8" x14ac:dyDescent="0.2">
      <c r="A1553" s="1">
        <v>42432</v>
      </c>
      <c r="B1553">
        <v>712.419983</v>
      </c>
      <c r="C1553" s="2">
        <f t="shared" si="105"/>
        <v>-8.9448330175641091E-3</v>
      </c>
      <c r="D1553">
        <v>-161.82934122423606</v>
      </c>
      <c r="E1553" s="15">
        <v>0</v>
      </c>
      <c r="F1553">
        <f t="shared" si="108"/>
        <v>3.4581071529304263E-3</v>
      </c>
      <c r="G1553">
        <f t="shared" si="106"/>
        <v>0</v>
      </c>
      <c r="H1553" t="e">
        <f t="shared" si="107"/>
        <v>#NUM!</v>
      </c>
    </row>
    <row r="1554" spans="1:8" x14ac:dyDescent="0.2">
      <c r="A1554" s="1">
        <v>42433</v>
      </c>
      <c r="B1554">
        <v>710.89001499999995</v>
      </c>
      <c r="C1554" s="2">
        <f t="shared" si="105"/>
        <v>-2.1475646900826102E-3</v>
      </c>
      <c r="D1554">
        <v>-0.75991003008489444</v>
      </c>
      <c r="E1554" s="15">
        <v>1</v>
      </c>
      <c r="F1554">
        <f t="shared" si="108"/>
        <v>3.2651562386127966E-3</v>
      </c>
      <c r="G1554">
        <f t="shared" si="106"/>
        <v>306.26405810977383</v>
      </c>
      <c r="H1554">
        <f t="shared" si="107"/>
        <v>-4.9721920656792458</v>
      </c>
    </row>
    <row r="1555" spans="1:8" x14ac:dyDescent="0.2">
      <c r="A1555" s="1">
        <v>42436</v>
      </c>
      <c r="B1555">
        <v>695.15997300000004</v>
      </c>
      <c r="C1555" s="2">
        <f t="shared" si="105"/>
        <v>-2.2127251287950518E-2</v>
      </c>
      <c r="D1555">
        <v>9.3034154873813613</v>
      </c>
      <c r="E1555" s="15">
        <v>0</v>
      </c>
      <c r="F1555">
        <f t="shared" si="108"/>
        <v>12178.410377113436</v>
      </c>
      <c r="G1555">
        <f t="shared" si="106"/>
        <v>0</v>
      </c>
      <c r="H1555" t="e">
        <f t="shared" si="107"/>
        <v>#NUM!</v>
      </c>
    </row>
    <row r="1556" spans="1:8" x14ac:dyDescent="0.2">
      <c r="A1556" s="1">
        <v>42437</v>
      </c>
      <c r="B1556">
        <v>693.96997099999999</v>
      </c>
      <c r="C1556" s="2">
        <f t="shared" si="105"/>
        <v>-1.7118390675811385E-3</v>
      </c>
      <c r="D1556">
        <v>-0.92263661467462399</v>
      </c>
      <c r="E1556" s="15">
        <v>0</v>
      </c>
      <c r="F1556">
        <f t="shared" si="108"/>
        <v>1043.3559344685279</v>
      </c>
      <c r="G1556">
        <f t="shared" si="106"/>
        <v>0</v>
      </c>
      <c r="H1556" t="e">
        <f t="shared" si="107"/>
        <v>#NUM!</v>
      </c>
    </row>
    <row r="1557" spans="1:8" x14ac:dyDescent="0.2">
      <c r="A1557" s="1">
        <v>42438</v>
      </c>
      <c r="B1557">
        <v>705.23999000000003</v>
      </c>
      <c r="C1557" s="2">
        <f t="shared" si="105"/>
        <v>1.6239923153677852E-2</v>
      </c>
      <c r="D1557">
        <v>-10.486828207878895</v>
      </c>
      <c r="E1557" s="15">
        <v>0</v>
      </c>
      <c r="F1557">
        <f t="shared" si="108"/>
        <v>89.389717627811351</v>
      </c>
      <c r="G1557">
        <f t="shared" si="106"/>
        <v>0</v>
      </c>
      <c r="H1557" t="e">
        <f t="shared" si="107"/>
        <v>#NUM!</v>
      </c>
    </row>
    <row r="1558" spans="1:8" x14ac:dyDescent="0.2">
      <c r="A1558" s="1">
        <v>42439</v>
      </c>
      <c r="B1558">
        <v>712.82000700000003</v>
      </c>
      <c r="C1558" s="2">
        <f t="shared" si="105"/>
        <v>1.0748138374853073E-2</v>
      </c>
      <c r="D1558">
        <v>-0.33816568753781667</v>
      </c>
      <c r="E1558" s="15">
        <v>1</v>
      </c>
      <c r="F1558">
        <f t="shared" si="108"/>
        <v>7.6611955481990908</v>
      </c>
      <c r="G1558">
        <f t="shared" si="106"/>
        <v>0.13052793049187589</v>
      </c>
      <c r="H1558">
        <f t="shared" si="107"/>
        <v>-3443.2073264421856</v>
      </c>
    </row>
    <row r="1559" spans="1:8" x14ac:dyDescent="0.2">
      <c r="A1559" s="1">
        <v>42440</v>
      </c>
      <c r="B1559">
        <v>726.82000700000003</v>
      </c>
      <c r="C1559" s="2">
        <f t="shared" si="105"/>
        <v>1.9640301706627041E-2</v>
      </c>
      <c r="D1559">
        <v>0.82732125523974964</v>
      </c>
      <c r="E1559" s="15">
        <v>0</v>
      </c>
      <c r="F1559">
        <f t="shared" si="108"/>
        <v>0.66153357695661441</v>
      </c>
      <c r="G1559">
        <f t="shared" si="106"/>
        <v>0</v>
      </c>
      <c r="H1559" t="e">
        <f t="shared" si="107"/>
        <v>#NUM!</v>
      </c>
    </row>
    <row r="1560" spans="1:8" x14ac:dyDescent="0.2">
      <c r="A1560" s="1">
        <v>42443</v>
      </c>
      <c r="B1560">
        <v>730.48999000000003</v>
      </c>
      <c r="C1560" s="2">
        <f t="shared" si="105"/>
        <v>5.0493698091059868E-3</v>
      </c>
      <c r="D1560">
        <v>-0.74290772695196294</v>
      </c>
      <c r="E1560" s="15">
        <v>0</v>
      </c>
      <c r="F1560">
        <f t="shared" si="108"/>
        <v>5.9644024393942681E-2</v>
      </c>
      <c r="G1560">
        <f t="shared" si="106"/>
        <v>0</v>
      </c>
      <c r="H1560" t="e">
        <f t="shared" si="107"/>
        <v>#NUM!</v>
      </c>
    </row>
    <row r="1561" spans="1:8" x14ac:dyDescent="0.2">
      <c r="A1561" s="1">
        <v>42444</v>
      </c>
      <c r="B1561">
        <v>728.330017</v>
      </c>
      <c r="C1561" s="2">
        <f t="shared" si="105"/>
        <v>-2.9568824071087357E-3</v>
      </c>
      <c r="D1561">
        <v>-1.5855943452143912</v>
      </c>
      <c r="E1561" s="15">
        <v>0</v>
      </c>
      <c r="F1561">
        <f t="shared" si="108"/>
        <v>8.0787354793984897E-3</v>
      </c>
      <c r="G1561">
        <f t="shared" si="106"/>
        <v>0</v>
      </c>
      <c r="H1561" t="e">
        <f t="shared" si="107"/>
        <v>#NUM!</v>
      </c>
    </row>
    <row r="1562" spans="1:8" x14ac:dyDescent="0.2">
      <c r="A1562" s="1">
        <v>42445</v>
      </c>
      <c r="B1562">
        <v>736.09002699999996</v>
      </c>
      <c r="C1562" s="2">
        <f t="shared" si="105"/>
        <v>1.0654524485978952E-2</v>
      </c>
      <c r="D1562">
        <v>-4.6032966547347529</v>
      </c>
      <c r="E1562" s="15">
        <v>0</v>
      </c>
      <c r="F1562">
        <f t="shared" si="108"/>
        <v>3.6610162989952921E-3</v>
      </c>
      <c r="G1562">
        <f t="shared" si="106"/>
        <v>0</v>
      </c>
      <c r="H1562" t="e">
        <f t="shared" si="107"/>
        <v>#NUM!</v>
      </c>
    </row>
    <row r="1563" spans="1:8" x14ac:dyDescent="0.2">
      <c r="A1563" s="1">
        <v>42446</v>
      </c>
      <c r="B1563">
        <v>737.78002900000001</v>
      </c>
      <c r="C1563" s="2">
        <f t="shared" si="105"/>
        <v>2.2959175345545735E-3</v>
      </c>
      <c r="D1563">
        <v>-0.78451243529676662</v>
      </c>
      <c r="E1563" s="15">
        <v>0</v>
      </c>
      <c r="F1563">
        <f t="shared" si="108"/>
        <v>3.282539940814786E-3</v>
      </c>
      <c r="G1563">
        <f t="shared" si="106"/>
        <v>0</v>
      </c>
      <c r="H1563" t="e">
        <f t="shared" si="107"/>
        <v>#NUM!</v>
      </c>
    </row>
    <row r="1564" spans="1:8" x14ac:dyDescent="0.2">
      <c r="A1564" s="1">
        <v>42447</v>
      </c>
      <c r="B1564">
        <v>737.59997599999997</v>
      </c>
      <c r="C1564" s="2">
        <f t="shared" si="105"/>
        <v>-2.4404699628978915E-4</v>
      </c>
      <c r="D1564">
        <v>-1.1062960636071522</v>
      </c>
      <c r="E1564" s="15">
        <v>0</v>
      </c>
      <c r="F1564">
        <f t="shared" si="108"/>
        <v>3.250114983987063E-3</v>
      </c>
      <c r="G1564">
        <f t="shared" si="106"/>
        <v>0</v>
      </c>
      <c r="H1564" t="e">
        <f t="shared" si="107"/>
        <v>#NUM!</v>
      </c>
    </row>
    <row r="1565" spans="1:8" x14ac:dyDescent="0.2">
      <c r="A1565" s="1">
        <v>42450</v>
      </c>
      <c r="B1565">
        <v>742.09002699999996</v>
      </c>
      <c r="C1565" s="2">
        <f t="shared" si="105"/>
        <v>6.0873795364657039E-3</v>
      </c>
      <c r="D1565">
        <v>-25.94347248280555</v>
      </c>
      <c r="E1565" s="15">
        <v>0</v>
      </c>
      <c r="F1565">
        <f t="shared" si="108"/>
        <v>3.2473370619252092E-3</v>
      </c>
      <c r="G1565">
        <f t="shared" si="106"/>
        <v>0</v>
      </c>
      <c r="H1565" t="e">
        <f t="shared" si="107"/>
        <v>#NUM!</v>
      </c>
    </row>
    <row r="1566" spans="1:8" x14ac:dyDescent="0.2">
      <c r="A1566" s="1">
        <v>42451</v>
      </c>
      <c r="B1566">
        <v>740.75</v>
      </c>
      <c r="C1566" s="2">
        <f t="shared" si="105"/>
        <v>-1.8057472156272E-3</v>
      </c>
      <c r="D1566">
        <v>-1.2966378562089143</v>
      </c>
      <c r="E1566" s="15">
        <v>1</v>
      </c>
      <c r="F1566">
        <f t="shared" si="108"/>
        <v>3.2470990708301792E-3</v>
      </c>
      <c r="G1566">
        <f t="shared" si="106"/>
        <v>307.96719723871314</v>
      </c>
      <c r="H1566">
        <f t="shared" si="107"/>
        <v>-4.9770089213140567</v>
      </c>
    </row>
    <row r="1567" spans="1:8" x14ac:dyDescent="0.2">
      <c r="A1567" s="1">
        <v>42452</v>
      </c>
      <c r="B1567">
        <v>738.05999799999995</v>
      </c>
      <c r="C1567" s="2">
        <f t="shared" si="105"/>
        <v>-3.6314573067837319E-3</v>
      </c>
      <c r="D1567">
        <v>1.0110551883212502</v>
      </c>
      <c r="E1567" s="15">
        <v>1</v>
      </c>
      <c r="F1567">
        <f t="shared" si="108"/>
        <v>12314.23560949937</v>
      </c>
      <c r="G1567">
        <f t="shared" si="106"/>
        <v>8.1206826936832874E-5</v>
      </c>
      <c r="H1567">
        <f t="shared" si="107"/>
        <v>-2.2994810501597344E+16</v>
      </c>
    </row>
    <row r="1568" spans="1:8" x14ac:dyDescent="0.2">
      <c r="A1568" s="1">
        <v>42453</v>
      </c>
      <c r="B1568">
        <v>735.29998799999998</v>
      </c>
      <c r="C1568" s="2">
        <f t="shared" si="105"/>
        <v>-3.7395469304379856E-3</v>
      </c>
      <c r="D1568">
        <v>2.9764806391179989E-2</v>
      </c>
      <c r="E1568" s="15">
        <v>0</v>
      </c>
      <c r="F1568">
        <f t="shared" si="108"/>
        <v>1054.9924005287221</v>
      </c>
      <c r="G1568">
        <f t="shared" si="106"/>
        <v>0</v>
      </c>
      <c r="H1568" t="e">
        <f t="shared" si="107"/>
        <v>#NUM!</v>
      </c>
    </row>
    <row r="1569" spans="1:8" x14ac:dyDescent="0.2">
      <c r="A1569" s="1">
        <v>42457</v>
      </c>
      <c r="B1569">
        <v>733.53002900000001</v>
      </c>
      <c r="C1569" s="2">
        <f t="shared" si="105"/>
        <v>-2.4071250222840635E-3</v>
      </c>
      <c r="D1569">
        <v>-0.35630570572833148</v>
      </c>
      <c r="E1569" s="15">
        <v>0</v>
      </c>
      <c r="F1569">
        <f t="shared" si="108"/>
        <v>90.386640953334137</v>
      </c>
      <c r="G1569">
        <f t="shared" si="106"/>
        <v>0</v>
      </c>
      <c r="H1569" t="e">
        <f t="shared" si="107"/>
        <v>#NUM!</v>
      </c>
    </row>
    <row r="1570" spans="1:8" x14ac:dyDescent="0.2">
      <c r="A1570" s="1">
        <v>42458</v>
      </c>
      <c r="B1570">
        <v>744.77002000000005</v>
      </c>
      <c r="C1570" s="2">
        <f t="shared" si="105"/>
        <v>1.5323150458234385E-2</v>
      </c>
      <c r="D1570">
        <v>-7.3657476518168608</v>
      </c>
      <c r="E1570" s="15">
        <v>0</v>
      </c>
      <c r="F1570">
        <f t="shared" si="108"/>
        <v>7.7466043064793366</v>
      </c>
      <c r="G1570">
        <f t="shared" si="106"/>
        <v>0</v>
      </c>
      <c r="H1570" t="e">
        <f t="shared" si="107"/>
        <v>#NUM!</v>
      </c>
    </row>
    <row r="1571" spans="1:8" x14ac:dyDescent="0.2">
      <c r="A1571" s="1">
        <v>42459</v>
      </c>
      <c r="B1571">
        <v>750.53002900000001</v>
      </c>
      <c r="C1571" s="2">
        <f t="shared" si="105"/>
        <v>7.7339431573789285E-3</v>
      </c>
      <c r="D1571">
        <v>-0.49527721610128506</v>
      </c>
      <c r="E1571" s="15">
        <v>0</v>
      </c>
      <c r="F1571">
        <f t="shared" si="108"/>
        <v>0.66663864257977357</v>
      </c>
      <c r="G1571">
        <f t="shared" si="106"/>
        <v>0</v>
      </c>
      <c r="H1571" t="e">
        <f t="shared" si="107"/>
        <v>#NUM!</v>
      </c>
    </row>
    <row r="1572" spans="1:8" x14ac:dyDescent="0.2">
      <c r="A1572" s="1">
        <v>42460</v>
      </c>
      <c r="B1572">
        <v>744.95001200000002</v>
      </c>
      <c r="C1572" s="2">
        <f t="shared" si="105"/>
        <v>-7.4347684761324829E-3</v>
      </c>
      <c r="D1572">
        <v>-1.9613166692386401</v>
      </c>
      <c r="E1572" s="15">
        <v>0</v>
      </c>
      <c r="F1572">
        <f t="shared" si="108"/>
        <v>6.0081387333148203E-2</v>
      </c>
      <c r="G1572">
        <f t="shared" si="106"/>
        <v>0</v>
      </c>
      <c r="H1572" t="e">
        <f t="shared" si="107"/>
        <v>#NUM!</v>
      </c>
    </row>
    <row r="1573" spans="1:8" x14ac:dyDescent="0.2">
      <c r="A1573" s="1">
        <v>42461</v>
      </c>
      <c r="B1573">
        <v>749.90997300000004</v>
      </c>
      <c r="C1573" s="2">
        <f t="shared" si="105"/>
        <v>6.6581125177564548E-3</v>
      </c>
      <c r="D1573">
        <v>-1.8955373041044528</v>
      </c>
      <c r="E1573" s="15">
        <v>0</v>
      </c>
      <c r="F1573">
        <f t="shared" si="108"/>
        <v>8.1162053876642579E-3</v>
      </c>
      <c r="G1573">
        <f t="shared" si="106"/>
        <v>0</v>
      </c>
      <c r="H1573" t="e">
        <f t="shared" si="107"/>
        <v>#NUM!</v>
      </c>
    </row>
    <row r="1574" spans="1:8" x14ac:dyDescent="0.2">
      <c r="A1574" s="1">
        <v>42464</v>
      </c>
      <c r="B1574">
        <v>745.28997800000002</v>
      </c>
      <c r="C1574" s="2">
        <f t="shared" si="105"/>
        <v>-6.1607328430609053E-3</v>
      </c>
      <c r="D1574">
        <v>-1.9252971959592013</v>
      </c>
      <c r="E1574" s="15">
        <v>1</v>
      </c>
      <c r="F1574">
        <f t="shared" si="108"/>
        <v>3.6642264338731935E-3</v>
      </c>
      <c r="G1574">
        <f t="shared" si="106"/>
        <v>272.9088985210368</v>
      </c>
      <c r="H1574">
        <f t="shared" si="107"/>
        <v>-4.8720353933638041</v>
      </c>
    </row>
    <row r="1575" spans="1:8" x14ac:dyDescent="0.2">
      <c r="A1575" s="1">
        <v>42465</v>
      </c>
      <c r="B1575">
        <v>737.79998799999998</v>
      </c>
      <c r="C1575" s="2">
        <f t="shared" si="105"/>
        <v>-1.0049766159608862E-2</v>
      </c>
      <c r="D1575">
        <v>0.63126147742769601</v>
      </c>
      <c r="E1575" s="15">
        <v>0</v>
      </c>
      <c r="F1575">
        <f t="shared" si="108"/>
        <v>9670.166763721305</v>
      </c>
      <c r="G1575">
        <f t="shared" si="106"/>
        <v>0</v>
      </c>
      <c r="H1575" t="e">
        <f t="shared" si="107"/>
        <v>#NUM!</v>
      </c>
    </row>
    <row r="1576" spans="1:8" x14ac:dyDescent="0.2">
      <c r="A1576" s="1">
        <v>42466</v>
      </c>
      <c r="B1576">
        <v>745.69000200000005</v>
      </c>
      <c r="C1576" s="2">
        <f t="shared" si="105"/>
        <v>1.0693974150620431E-2</v>
      </c>
      <c r="D1576">
        <v>-2.064101789114329</v>
      </c>
      <c r="E1576" s="15">
        <v>0</v>
      </c>
      <c r="F1576">
        <f t="shared" si="108"/>
        <v>828.46882429700145</v>
      </c>
      <c r="G1576">
        <f t="shared" si="106"/>
        <v>0</v>
      </c>
      <c r="H1576" t="e">
        <f t="shared" si="107"/>
        <v>#NUM!</v>
      </c>
    </row>
    <row r="1577" spans="1:8" x14ac:dyDescent="0.2">
      <c r="A1577" s="1">
        <v>42467</v>
      </c>
      <c r="B1577">
        <v>740.28002900000001</v>
      </c>
      <c r="C1577" s="2">
        <f t="shared" si="105"/>
        <v>-7.2549893192748426E-3</v>
      </c>
      <c r="D1577">
        <v>-1.6784184454807132</v>
      </c>
      <c r="E1577" s="15">
        <v>0</v>
      </c>
      <c r="F1577">
        <f t="shared" si="108"/>
        <v>70.979835162120153</v>
      </c>
      <c r="G1577">
        <f t="shared" si="106"/>
        <v>0</v>
      </c>
      <c r="H1577" t="e">
        <f t="shared" si="107"/>
        <v>#NUM!</v>
      </c>
    </row>
    <row r="1578" spans="1:8" x14ac:dyDescent="0.2">
      <c r="A1578" s="1">
        <v>42468</v>
      </c>
      <c r="B1578">
        <v>739.15002400000003</v>
      </c>
      <c r="C1578" s="2">
        <f t="shared" si="105"/>
        <v>-1.5264561459620071E-3</v>
      </c>
      <c r="D1578">
        <v>-0.78959911878759581</v>
      </c>
      <c r="E1578" s="15">
        <v>1</v>
      </c>
      <c r="F1578">
        <f t="shared" si="108"/>
        <v>6.0839777610082741</v>
      </c>
      <c r="G1578">
        <f t="shared" si="106"/>
        <v>0.16436614979247949</v>
      </c>
      <c r="H1578">
        <f t="shared" si="107"/>
        <v>-1368.5259627089667</v>
      </c>
    </row>
    <row r="1579" spans="1:8" x14ac:dyDescent="0.2">
      <c r="A1579" s="1">
        <v>42471</v>
      </c>
      <c r="B1579">
        <v>736.09997599999997</v>
      </c>
      <c r="C1579" s="2">
        <f t="shared" si="105"/>
        <v>-4.126426166496425E-3</v>
      </c>
      <c r="D1579">
        <v>1.703272005168454</v>
      </c>
      <c r="E1579" s="15">
        <v>0</v>
      </c>
      <c r="F1579">
        <f t="shared" si="108"/>
        <v>0.5277052349213498</v>
      </c>
      <c r="G1579">
        <f t="shared" si="106"/>
        <v>0</v>
      </c>
      <c r="H1579" t="e">
        <f t="shared" si="107"/>
        <v>#NUM!</v>
      </c>
    </row>
    <row r="1580" spans="1:8" x14ac:dyDescent="0.2">
      <c r="A1580" s="1">
        <v>42472</v>
      </c>
      <c r="B1580">
        <v>743.09002699999996</v>
      </c>
      <c r="C1580" s="2">
        <f t="shared" si="105"/>
        <v>9.4960619860147838E-3</v>
      </c>
      <c r="D1580">
        <v>-3.3012799945667006</v>
      </c>
      <c r="E1580" s="15">
        <v>1</v>
      </c>
      <c r="F1580">
        <f t="shared" si="108"/>
        <v>4.8178636612046757E-2</v>
      </c>
      <c r="G1580">
        <f t="shared" si="106"/>
        <v>20.756087559147666</v>
      </c>
      <c r="H1580">
        <f t="shared" si="107"/>
        <v>-2.6342963760603446</v>
      </c>
    </row>
    <row r="1581" spans="1:8" x14ac:dyDescent="0.2">
      <c r="A1581" s="1">
        <v>42473</v>
      </c>
      <c r="B1581">
        <v>751.71997099999999</v>
      </c>
      <c r="C1581" s="2">
        <f t="shared" si="105"/>
        <v>1.161359147133329E-2</v>
      </c>
      <c r="D1581">
        <v>0.22299027622577369</v>
      </c>
      <c r="E1581" s="15">
        <v>0</v>
      </c>
      <c r="F1581">
        <f t="shared" si="108"/>
        <v>55.942839463936252</v>
      </c>
      <c r="G1581">
        <f t="shared" si="106"/>
        <v>0</v>
      </c>
      <c r="H1581" t="e">
        <f t="shared" si="107"/>
        <v>#NUM!</v>
      </c>
    </row>
    <row r="1582" spans="1:8" x14ac:dyDescent="0.2">
      <c r="A1582" s="1">
        <v>42474</v>
      </c>
      <c r="B1582">
        <v>753.20001200000002</v>
      </c>
      <c r="C1582" s="2">
        <f t="shared" si="105"/>
        <v>1.9688727945210175E-3</v>
      </c>
      <c r="D1582">
        <v>-0.83046822342761617</v>
      </c>
      <c r="E1582" s="15">
        <v>1</v>
      </c>
      <c r="F1582">
        <f t="shared" si="108"/>
        <v>4.795723089894218</v>
      </c>
      <c r="G1582">
        <f t="shared" si="106"/>
        <v>0.2085191286601282</v>
      </c>
      <c r="H1582">
        <f t="shared" si="107"/>
        <v>-527.59045081208353</v>
      </c>
    </row>
    <row r="1583" spans="1:8" x14ac:dyDescent="0.2">
      <c r="A1583" s="1">
        <v>42475</v>
      </c>
      <c r="B1583">
        <v>759</v>
      </c>
      <c r="C1583" s="2">
        <f t="shared" si="105"/>
        <v>7.7004619059936824E-3</v>
      </c>
      <c r="D1583">
        <v>2.9111017874910661</v>
      </c>
      <c r="E1583" s="15">
        <v>1</v>
      </c>
      <c r="F1583">
        <f t="shared" si="108"/>
        <v>0.41947507291007774</v>
      </c>
      <c r="G1583">
        <f t="shared" si="106"/>
        <v>2.3839318819651734</v>
      </c>
      <c r="H1583">
        <f t="shared" si="107"/>
        <v>-0.7855493717929356</v>
      </c>
    </row>
    <row r="1584" spans="1:8" x14ac:dyDescent="0.2">
      <c r="A1584" s="1">
        <v>42478</v>
      </c>
      <c r="B1584">
        <v>766.60998500000005</v>
      </c>
      <c r="C1584" s="2">
        <f t="shared" si="105"/>
        <v>1.0026330698287287E-2</v>
      </c>
      <c r="D1584">
        <v>0.3020427632377814</v>
      </c>
      <c r="E1584" s="15">
        <v>0</v>
      </c>
      <c r="F1584">
        <f t="shared" si="108"/>
        <v>0.77678692933274418</v>
      </c>
      <c r="G1584">
        <f t="shared" si="106"/>
        <v>0</v>
      </c>
      <c r="H1584" t="e">
        <f t="shared" si="107"/>
        <v>#NUM!</v>
      </c>
    </row>
    <row r="1585" spans="1:8" x14ac:dyDescent="0.2">
      <c r="A1585" s="1">
        <v>42479</v>
      </c>
      <c r="B1585">
        <v>753.92999299999997</v>
      </c>
      <c r="C1585" s="2">
        <f t="shared" si="105"/>
        <v>-1.654034287069726E-2</v>
      </c>
      <c r="D1585">
        <v>-2.6496905366908261</v>
      </c>
      <c r="E1585" s="15">
        <v>0</v>
      </c>
      <c r="F1585">
        <f t="shared" si="108"/>
        <v>6.9518049268342E-2</v>
      </c>
      <c r="G1585">
        <f t="shared" si="106"/>
        <v>0</v>
      </c>
      <c r="H1585" t="e">
        <f t="shared" si="107"/>
        <v>#NUM!</v>
      </c>
    </row>
    <row r="1586" spans="1:8" x14ac:dyDescent="0.2">
      <c r="A1586" s="1">
        <v>42480</v>
      </c>
      <c r="B1586">
        <v>752.669983</v>
      </c>
      <c r="C1586" s="2">
        <f t="shared" si="105"/>
        <v>-1.6712559676611324E-3</v>
      </c>
      <c r="D1586">
        <v>-0.89895880752134127</v>
      </c>
      <c r="E1586" s="15">
        <v>0</v>
      </c>
      <c r="F1586">
        <f t="shared" si="108"/>
        <v>8.9246663370283561E-3</v>
      </c>
      <c r="G1586">
        <f t="shared" si="106"/>
        <v>0</v>
      </c>
      <c r="H1586" t="e">
        <f t="shared" si="107"/>
        <v>#NUM!</v>
      </c>
    </row>
    <row r="1587" spans="1:8" x14ac:dyDescent="0.2">
      <c r="A1587" s="1">
        <v>42481</v>
      </c>
      <c r="B1587">
        <v>759.14001499999995</v>
      </c>
      <c r="C1587" s="2">
        <f t="shared" si="105"/>
        <v>8.5961073858846129E-3</v>
      </c>
      <c r="D1587">
        <v>-6.143501385915517</v>
      </c>
      <c r="E1587" s="15">
        <v>0</v>
      </c>
      <c r="F1587">
        <f t="shared" si="108"/>
        <v>3.7334891785953585E-3</v>
      </c>
      <c r="G1587">
        <f t="shared" si="106"/>
        <v>0</v>
      </c>
      <c r="H1587" t="e">
        <f t="shared" si="107"/>
        <v>#NUM!</v>
      </c>
    </row>
    <row r="1588" spans="1:8" x14ac:dyDescent="0.2">
      <c r="A1588" s="1">
        <v>42482</v>
      </c>
      <c r="B1588">
        <v>718.77002000000005</v>
      </c>
      <c r="C1588" s="2">
        <f t="shared" si="105"/>
        <v>-5.3178589196091718E-2</v>
      </c>
      <c r="D1588">
        <v>-7.1863570112461064</v>
      </c>
      <c r="E1588" s="15">
        <v>0</v>
      </c>
      <c r="F1588">
        <f t="shared" si="108"/>
        <v>3.2887488623006885E-3</v>
      </c>
      <c r="G1588">
        <f t="shared" si="106"/>
        <v>0</v>
      </c>
      <c r="H1588" t="e">
        <f t="shared" si="107"/>
        <v>#NUM!</v>
      </c>
    </row>
    <row r="1589" spans="1:8" x14ac:dyDescent="0.2">
      <c r="A1589" s="1">
        <v>42485</v>
      </c>
      <c r="B1589">
        <v>723.15002400000003</v>
      </c>
      <c r="C1589" s="2">
        <f t="shared" si="105"/>
        <v>6.0937488739443877E-3</v>
      </c>
      <c r="D1589">
        <v>-1.1145902696191166</v>
      </c>
      <c r="E1589" s="15">
        <v>0</v>
      </c>
      <c r="F1589">
        <f t="shared" si="108"/>
        <v>3.250646916845683E-3</v>
      </c>
      <c r="G1589">
        <f t="shared" si="106"/>
        <v>0</v>
      </c>
      <c r="H1589" t="e">
        <f t="shared" si="107"/>
        <v>#NUM!</v>
      </c>
    </row>
    <row r="1590" spans="1:8" x14ac:dyDescent="0.2">
      <c r="A1590" s="1">
        <v>42486</v>
      </c>
      <c r="B1590">
        <v>708.14001499999995</v>
      </c>
      <c r="C1590" s="2">
        <f t="shared" si="105"/>
        <v>-2.0756424672399763E-2</v>
      </c>
      <c r="D1590">
        <v>-4.4061831397663846</v>
      </c>
      <c r="E1590" s="15">
        <v>0</v>
      </c>
      <c r="F1590">
        <f t="shared" si="108"/>
        <v>3.2473826338601615E-3</v>
      </c>
      <c r="G1590">
        <f t="shared" si="106"/>
        <v>0</v>
      </c>
      <c r="H1590" t="e">
        <f t="shared" si="107"/>
        <v>#NUM!</v>
      </c>
    </row>
    <row r="1591" spans="1:8" x14ac:dyDescent="0.2">
      <c r="A1591" s="1">
        <v>42487</v>
      </c>
      <c r="B1591">
        <v>705.84002699999996</v>
      </c>
      <c r="C1591" s="2">
        <f t="shared" si="105"/>
        <v>-3.2479283069464519E-3</v>
      </c>
      <c r="D1591">
        <v>-0.84352178382314136</v>
      </c>
      <c r="E1591" s="15">
        <v>1</v>
      </c>
      <c r="F1591">
        <f t="shared" si="108"/>
        <v>3.2471029750846757E-3</v>
      </c>
      <c r="G1591">
        <f t="shared" si="106"/>
        <v>307.96682694484696</v>
      </c>
      <c r="H1591">
        <f t="shared" si="107"/>
        <v>-4.9770078769386759</v>
      </c>
    </row>
    <row r="1592" spans="1:8" x14ac:dyDescent="0.2">
      <c r="A1592" s="1">
        <v>42488</v>
      </c>
      <c r="B1592">
        <v>691.02002000000005</v>
      </c>
      <c r="C1592" s="2">
        <f t="shared" si="105"/>
        <v>-2.0996268889692648E-2</v>
      </c>
      <c r="D1592">
        <v>5.4645111915762525</v>
      </c>
      <c r="E1592" s="15">
        <v>0</v>
      </c>
      <c r="F1592">
        <f t="shared" si="108"/>
        <v>12314.205996722694</v>
      </c>
      <c r="G1592">
        <f t="shared" si="106"/>
        <v>0</v>
      </c>
      <c r="H1592" t="e">
        <f t="shared" si="107"/>
        <v>#NUM!</v>
      </c>
    </row>
    <row r="1593" spans="1:8" x14ac:dyDescent="0.2">
      <c r="A1593" s="1">
        <v>42489</v>
      </c>
      <c r="B1593">
        <v>693.01000999999997</v>
      </c>
      <c r="C1593" s="2">
        <f t="shared" si="105"/>
        <v>2.879786319360068E-3</v>
      </c>
      <c r="D1593">
        <v>-1.1371570508307689</v>
      </c>
      <c r="E1593" s="15">
        <v>1</v>
      </c>
      <c r="F1593">
        <f t="shared" si="108"/>
        <v>1054.9898635318702</v>
      </c>
      <c r="G1593">
        <f t="shared" si="106"/>
        <v>9.4787640579997951E-4</v>
      </c>
      <c r="H1593">
        <f t="shared" si="107"/>
        <v>-1238777040664.0183</v>
      </c>
    </row>
    <row r="1594" spans="1:8" x14ac:dyDescent="0.2">
      <c r="A1594" s="1">
        <v>42492</v>
      </c>
      <c r="B1594">
        <v>698.21002199999998</v>
      </c>
      <c r="C1594" s="2">
        <f t="shared" si="105"/>
        <v>7.5035164354985513E-3</v>
      </c>
      <c r="D1594">
        <v>1.6055809714263614</v>
      </c>
      <c r="E1594" s="15">
        <v>0</v>
      </c>
      <c r="F1594">
        <f t="shared" si="108"/>
        <v>90.386423719521218</v>
      </c>
      <c r="G1594">
        <f t="shared" si="106"/>
        <v>0</v>
      </c>
      <c r="H1594" t="e">
        <f t="shared" si="107"/>
        <v>#NUM!</v>
      </c>
    </row>
    <row r="1595" spans="1:8" x14ac:dyDescent="0.2">
      <c r="A1595" s="1">
        <v>42493</v>
      </c>
      <c r="B1595">
        <v>692.35998500000005</v>
      </c>
      <c r="C1595" s="2">
        <f t="shared" si="105"/>
        <v>-8.3786207812409901E-3</v>
      </c>
      <c r="D1595">
        <v>-2.1166258984390822</v>
      </c>
      <c r="E1595" s="15">
        <v>0</v>
      </c>
      <c r="F1595">
        <f t="shared" si="108"/>
        <v>7.7465856955493457</v>
      </c>
      <c r="G1595">
        <f t="shared" si="106"/>
        <v>0</v>
      </c>
      <c r="H1595" t="e">
        <f t="shared" si="107"/>
        <v>#NUM!</v>
      </c>
    </row>
    <row r="1596" spans="1:8" x14ac:dyDescent="0.2">
      <c r="A1596" s="1">
        <v>42494</v>
      </c>
      <c r="B1596">
        <v>695.70001200000002</v>
      </c>
      <c r="C1596" s="2">
        <f t="shared" si="105"/>
        <v>4.8241190599713291E-3</v>
      </c>
      <c r="D1596">
        <v>-1.575765294303821</v>
      </c>
      <c r="E1596" s="15">
        <v>1</v>
      </c>
      <c r="F1596">
        <f t="shared" si="108"/>
        <v>0.66663704813777358</v>
      </c>
      <c r="G1596">
        <f t="shared" si="106"/>
        <v>1.5000666446508841</v>
      </c>
      <c r="H1596">
        <f t="shared" si="107"/>
        <v>-0.54971687155475513</v>
      </c>
    </row>
    <row r="1597" spans="1:8" x14ac:dyDescent="0.2">
      <c r="A1597" s="1">
        <v>42495</v>
      </c>
      <c r="B1597">
        <v>701.42999299999997</v>
      </c>
      <c r="C1597" s="2">
        <f t="shared" si="105"/>
        <v>8.2362813010846293E-3</v>
      </c>
      <c r="D1597">
        <v>0.70731302413866615</v>
      </c>
      <c r="E1597" s="15">
        <v>1</v>
      </c>
      <c r="F1597">
        <f t="shared" si="108"/>
        <v>0.35224042706595471</v>
      </c>
      <c r="G1597">
        <f t="shared" si="106"/>
        <v>2.8389699851594732</v>
      </c>
      <c r="H1597">
        <f t="shared" si="107"/>
        <v>-0.92171579034891904</v>
      </c>
    </row>
    <row r="1598" spans="1:8" x14ac:dyDescent="0.2">
      <c r="A1598" s="1">
        <v>42496</v>
      </c>
      <c r="B1598">
        <v>711.11999500000002</v>
      </c>
      <c r="C1598" s="2">
        <f t="shared" si="105"/>
        <v>1.3814638804588514E-2</v>
      </c>
      <c r="D1598">
        <v>0.67729079418029059</v>
      </c>
      <c r="E1598" s="15">
        <v>0</v>
      </c>
      <c r="F1598">
        <f t="shared" si="108"/>
        <v>1.0795998723721509</v>
      </c>
      <c r="G1598">
        <f t="shared" si="106"/>
        <v>0</v>
      </c>
      <c r="H1598" t="e">
        <f t="shared" si="107"/>
        <v>#NUM!</v>
      </c>
    </row>
    <row r="1599" spans="1:8" x14ac:dyDescent="0.2">
      <c r="A1599" s="1">
        <v>42499</v>
      </c>
      <c r="B1599">
        <v>712.90002400000003</v>
      </c>
      <c r="C1599" s="2">
        <f t="shared" si="105"/>
        <v>2.5031345096688121E-3</v>
      </c>
      <c r="D1599">
        <v>-0.81880564920471177</v>
      </c>
      <c r="E1599" s="15">
        <v>1</v>
      </c>
      <c r="F1599">
        <f t="shared" si="108"/>
        <v>9.5460743951125263E-2</v>
      </c>
      <c r="G1599">
        <f t="shared" si="106"/>
        <v>10.47551023184973</v>
      </c>
      <c r="H1599">
        <f t="shared" si="107"/>
        <v>-2.0404334130457467</v>
      </c>
    </row>
    <row r="1600" spans="1:8" x14ac:dyDescent="0.2">
      <c r="A1600" s="1">
        <v>42500</v>
      </c>
      <c r="B1600">
        <v>723.17999299999997</v>
      </c>
      <c r="C1600" s="2">
        <f t="shared" si="105"/>
        <v>1.4419930781205776E-2</v>
      </c>
      <c r="D1600">
        <v>4.7607494625263538</v>
      </c>
      <c r="E1600" s="15">
        <v>0</v>
      </c>
      <c r="F1600">
        <f t="shared" si="108"/>
        <v>14.258979506126417</v>
      </c>
      <c r="G1600">
        <f t="shared" si="106"/>
        <v>0</v>
      </c>
      <c r="H1600" t="e">
        <f t="shared" si="107"/>
        <v>#NUM!</v>
      </c>
    </row>
    <row r="1601" spans="1:8" x14ac:dyDescent="0.2">
      <c r="A1601" s="1">
        <v>42501</v>
      </c>
      <c r="B1601">
        <v>715.28997800000002</v>
      </c>
      <c r="C1601" s="2">
        <f t="shared" si="105"/>
        <v>-1.0910167698734924E-2</v>
      </c>
      <c r="D1601">
        <v>-1.7566033335579319</v>
      </c>
      <c r="E1601" s="15">
        <v>0</v>
      </c>
      <c r="F1601">
        <f t="shared" si="108"/>
        <v>1.2245690922111412</v>
      </c>
      <c r="G1601">
        <f t="shared" si="106"/>
        <v>0</v>
      </c>
      <c r="H1601" t="e">
        <f t="shared" si="107"/>
        <v>#NUM!</v>
      </c>
    </row>
    <row r="1602" spans="1:8" x14ac:dyDescent="0.2">
      <c r="A1602" s="1">
        <v>42502</v>
      </c>
      <c r="B1602">
        <v>713.30999799999995</v>
      </c>
      <c r="C1602" s="2">
        <f t="shared" si="105"/>
        <v>-2.7680801645456141E-3</v>
      </c>
      <c r="D1602">
        <v>-0.74628436143409749</v>
      </c>
      <c r="E1602" s="15">
        <v>1</v>
      </c>
      <c r="F1602">
        <f t="shared" si="108"/>
        <v>0.10788059685085678</v>
      </c>
      <c r="G1602">
        <f t="shared" si="106"/>
        <v>9.2695074850437109</v>
      </c>
      <c r="H1602">
        <f t="shared" si="107"/>
        <v>-1.93424876718356</v>
      </c>
    </row>
    <row r="1603" spans="1:8" x14ac:dyDescent="0.2">
      <c r="A1603" s="1">
        <v>42503</v>
      </c>
      <c r="B1603">
        <v>710.830017</v>
      </c>
      <c r="C1603" s="2">
        <f t="shared" si="105"/>
        <v>-3.4767226128238743E-3</v>
      </c>
      <c r="D1603">
        <v>0.2560050309795075</v>
      </c>
      <c r="E1603" s="15">
        <v>0</v>
      </c>
      <c r="F1603">
        <f t="shared" si="108"/>
        <v>11.168294410620843</v>
      </c>
      <c r="G1603">
        <f t="shared" si="106"/>
        <v>0</v>
      </c>
      <c r="H1603" t="e">
        <f t="shared" si="107"/>
        <v>#NUM!</v>
      </c>
    </row>
    <row r="1604" spans="1:8" x14ac:dyDescent="0.2">
      <c r="A1604" s="1">
        <v>42506</v>
      </c>
      <c r="B1604">
        <v>716.48999000000003</v>
      </c>
      <c r="C1604" s="2">
        <f t="shared" ref="C1604:C1667" si="109">(B1604-B1603)/B1603</f>
        <v>7.9624845105549843E-3</v>
      </c>
      <c r="D1604">
        <v>-3.2902271470221405</v>
      </c>
      <c r="E1604" s="15">
        <v>0</v>
      </c>
      <c r="F1604">
        <f t="shared" si="108"/>
        <v>0.95978285491052628</v>
      </c>
      <c r="G1604">
        <f t="shared" si="106"/>
        <v>0</v>
      </c>
      <c r="H1604" t="e">
        <f t="shared" si="107"/>
        <v>#NUM!</v>
      </c>
    </row>
    <row r="1605" spans="1:8" x14ac:dyDescent="0.2">
      <c r="A1605" s="1">
        <v>42507</v>
      </c>
      <c r="B1605">
        <v>706.22997999999995</v>
      </c>
      <c r="C1605" s="2">
        <f t="shared" si="109"/>
        <v>-1.4319823226002193E-2</v>
      </c>
      <c r="D1605">
        <v>-2.7984114389195973</v>
      </c>
      <c r="E1605" s="15">
        <v>0</v>
      </c>
      <c r="F1605">
        <f t="shared" si="108"/>
        <v>8.5195739190730563E-2</v>
      </c>
      <c r="G1605">
        <f t="shared" si="106"/>
        <v>0</v>
      </c>
      <c r="H1605" t="e">
        <f t="shared" si="107"/>
        <v>#NUM!</v>
      </c>
    </row>
    <row r="1606" spans="1:8" x14ac:dyDescent="0.2">
      <c r="A1606" s="1">
        <v>42508</v>
      </c>
      <c r="B1606">
        <v>706.63000499999998</v>
      </c>
      <c r="C1606" s="2">
        <f t="shared" si="109"/>
        <v>5.6642313598755448E-4</v>
      </c>
      <c r="D1606">
        <v>-1.0395551765582576</v>
      </c>
      <c r="E1606" s="15">
        <v>0</v>
      </c>
      <c r="F1606">
        <f t="shared" si="108"/>
        <v>1.0267810784242245E-2</v>
      </c>
      <c r="G1606">
        <f t="shared" si="106"/>
        <v>0</v>
      </c>
      <c r="H1606" t="e">
        <f t="shared" si="107"/>
        <v>#NUM!</v>
      </c>
    </row>
    <row r="1607" spans="1:8" x14ac:dyDescent="0.2">
      <c r="A1607" s="1">
        <v>42509</v>
      </c>
      <c r="B1607">
        <v>700.32000700000003</v>
      </c>
      <c r="C1607" s="2">
        <f t="shared" si="109"/>
        <v>-8.9297057234357761E-3</v>
      </c>
      <c r="D1607">
        <v>-16.765079418705067</v>
      </c>
      <c r="E1607" s="15">
        <v>0</v>
      </c>
      <c r="F1607">
        <f t="shared" si="108"/>
        <v>3.8485595119807153E-3</v>
      </c>
      <c r="G1607">
        <f t="shared" si="106"/>
        <v>0</v>
      </c>
      <c r="H1607" t="e">
        <f t="shared" si="107"/>
        <v>#NUM!</v>
      </c>
    </row>
    <row r="1608" spans="1:8" x14ac:dyDescent="0.2">
      <c r="A1608" s="1">
        <v>42510</v>
      </c>
      <c r="B1608">
        <v>709.73999000000003</v>
      </c>
      <c r="C1608" s="2">
        <f t="shared" si="109"/>
        <v>1.3450969422325817E-2</v>
      </c>
      <c r="D1608">
        <v>-2.5063172112182941</v>
      </c>
      <c r="E1608" s="15">
        <v>0</v>
      </c>
      <c r="F1608">
        <f t="shared" si="108"/>
        <v>3.2986072075091161E-3</v>
      </c>
      <c r="G1608">
        <f t="shared" ref="G1608:G1671" si="110">E1608/F1608</f>
        <v>0</v>
      </c>
      <c r="H1608" t="e">
        <f t="shared" ref="H1608:H1671" si="111">-LOG(G1608^2)-(F1608^2)/(G1608^2)</f>
        <v>#NUM!</v>
      </c>
    </row>
    <row r="1609" spans="1:8" x14ac:dyDescent="0.2">
      <c r="A1609" s="1">
        <v>42513</v>
      </c>
      <c r="B1609">
        <v>704.23999000000003</v>
      </c>
      <c r="C1609" s="2">
        <f t="shared" si="109"/>
        <v>-7.7493167603533229E-3</v>
      </c>
      <c r="D1609">
        <v>-1.5761158558201065</v>
      </c>
      <c r="E1609" s="15">
        <v>0</v>
      </c>
      <c r="F1609">
        <f t="shared" ref="F1609:F1672" si="112" xml:space="preserve"> $K$5 + $K$6 * G1608 ^ 2 + $K$7 * F1608</f>
        <v>3.2514915043895731E-3</v>
      </c>
      <c r="G1609">
        <f t="shared" si="110"/>
        <v>0</v>
      </c>
      <c r="H1609" t="e">
        <f t="shared" si="111"/>
        <v>#NUM!</v>
      </c>
    </row>
    <row r="1610" spans="1:8" x14ac:dyDescent="0.2">
      <c r="A1610" s="1">
        <v>42514</v>
      </c>
      <c r="B1610">
        <v>720.09002699999996</v>
      </c>
      <c r="C1610" s="2">
        <f t="shared" si="109"/>
        <v>2.250658472263117E-2</v>
      </c>
      <c r="D1610">
        <v>-3.9043314938135274</v>
      </c>
      <c r="E1610" s="15">
        <v>0</v>
      </c>
      <c r="F1610">
        <f t="shared" si="112"/>
        <v>3.2474549916549243E-3</v>
      </c>
      <c r="G1610">
        <f t="shared" si="110"/>
        <v>0</v>
      </c>
      <c r="H1610" t="e">
        <f t="shared" si="111"/>
        <v>#NUM!</v>
      </c>
    </row>
    <row r="1611" spans="1:8" x14ac:dyDescent="0.2">
      <c r="A1611" s="1">
        <v>42515</v>
      </c>
      <c r="B1611">
        <v>725.27002000000005</v>
      </c>
      <c r="C1611" s="2">
        <f t="shared" si="109"/>
        <v>7.1935352605571939E-3</v>
      </c>
      <c r="D1611">
        <v>-0.68038085968130746</v>
      </c>
      <c r="E1611" s="15">
        <v>0</v>
      </c>
      <c r="F1611">
        <f t="shared" si="112"/>
        <v>3.2471091741465741E-3</v>
      </c>
      <c r="G1611">
        <f t="shared" si="110"/>
        <v>0</v>
      </c>
      <c r="H1611" t="e">
        <f t="shared" si="111"/>
        <v>#NUM!</v>
      </c>
    </row>
    <row r="1612" spans="1:8" x14ac:dyDescent="0.2">
      <c r="A1612" s="1">
        <v>42516</v>
      </c>
      <c r="B1612">
        <v>724.11999500000002</v>
      </c>
      <c r="C1612" s="2">
        <f t="shared" si="109"/>
        <v>-1.5856508173328712E-3</v>
      </c>
      <c r="D1612">
        <v>-1.2204271974625798</v>
      </c>
      <c r="E1612" s="15">
        <v>0</v>
      </c>
      <c r="F1612">
        <f t="shared" si="112"/>
        <v>3.2470795471499698E-3</v>
      </c>
      <c r="G1612">
        <f t="shared" si="110"/>
        <v>0</v>
      </c>
      <c r="H1612" t="e">
        <f t="shared" si="111"/>
        <v>#NUM!</v>
      </c>
    </row>
    <row r="1613" spans="1:8" x14ac:dyDescent="0.2">
      <c r="A1613" s="1">
        <v>42517</v>
      </c>
      <c r="B1613">
        <v>732.65997300000004</v>
      </c>
      <c r="C1613" s="2">
        <f t="shared" si="109"/>
        <v>1.1793595065690762E-2</v>
      </c>
      <c r="D1613">
        <v>-8.4376999884048036</v>
      </c>
      <c r="E1613" s="15">
        <v>0</v>
      </c>
      <c r="F1613">
        <f t="shared" si="112"/>
        <v>3.2470770089357195E-3</v>
      </c>
      <c r="G1613">
        <f t="shared" si="110"/>
        <v>0</v>
      </c>
      <c r="H1613" t="e">
        <f t="shared" si="111"/>
        <v>#NUM!</v>
      </c>
    </row>
    <row r="1614" spans="1:8" x14ac:dyDescent="0.2">
      <c r="A1614" s="1">
        <v>42521</v>
      </c>
      <c r="B1614">
        <v>735.71997099999999</v>
      </c>
      <c r="C1614" s="2">
        <f t="shared" si="109"/>
        <v>4.176559540260227E-3</v>
      </c>
      <c r="D1614">
        <v>-0.64586205334364666</v>
      </c>
      <c r="E1614" s="15">
        <v>0</v>
      </c>
      <c r="F1614">
        <f t="shared" si="112"/>
        <v>3.2470767914809543E-3</v>
      </c>
      <c r="G1614">
        <f t="shared" si="110"/>
        <v>0</v>
      </c>
      <c r="H1614" t="e">
        <f t="shared" si="111"/>
        <v>#NUM!</v>
      </c>
    </row>
    <row r="1615" spans="1:8" x14ac:dyDescent="0.2">
      <c r="A1615" s="1">
        <v>42522</v>
      </c>
      <c r="B1615">
        <v>734.15002400000003</v>
      </c>
      <c r="C1615" s="2">
        <f t="shared" si="109"/>
        <v>-2.1338920538830344E-3</v>
      </c>
      <c r="D1615">
        <v>-1.5109210184395165</v>
      </c>
      <c r="E1615" s="15">
        <v>1</v>
      </c>
      <c r="F1615">
        <f t="shared" si="112"/>
        <v>3.247076772851095E-3</v>
      </c>
      <c r="G1615">
        <f t="shared" si="110"/>
        <v>307.96931207818358</v>
      </c>
      <c r="H1615">
        <f t="shared" si="111"/>
        <v>-4.9770148859750085</v>
      </c>
    </row>
    <row r="1616" spans="1:8" x14ac:dyDescent="0.2">
      <c r="A1616" s="1">
        <v>42523</v>
      </c>
      <c r="B1616">
        <v>730.40002400000003</v>
      </c>
      <c r="C1616" s="2">
        <f t="shared" si="109"/>
        <v>-5.1079478000534669E-3</v>
      </c>
      <c r="D1616">
        <v>1.3937236144436433</v>
      </c>
      <c r="E1616" s="15">
        <v>1</v>
      </c>
      <c r="F1616">
        <f t="shared" si="112"/>
        <v>12314.404736042756</v>
      </c>
      <c r="G1616">
        <f t="shared" si="110"/>
        <v>8.1205711638916855E-5</v>
      </c>
      <c r="H1616">
        <f t="shared" si="111"/>
        <v>-2.2996073791681868E+16</v>
      </c>
    </row>
    <row r="1617" spans="1:8" x14ac:dyDescent="0.2">
      <c r="A1617" s="1">
        <v>42524</v>
      </c>
      <c r="B1617">
        <v>722.34002699999996</v>
      </c>
      <c r="C1617" s="2">
        <f t="shared" si="109"/>
        <v>-1.1035044818125672E-2</v>
      </c>
      <c r="D1617">
        <v>1.1603675781514768</v>
      </c>
      <c r="E1617" s="15">
        <v>0</v>
      </c>
      <c r="F1617">
        <f t="shared" si="112"/>
        <v>1055.0068899961595</v>
      </c>
      <c r="G1617">
        <f t="shared" si="110"/>
        <v>0</v>
      </c>
      <c r="H1617" t="e">
        <f t="shared" si="111"/>
        <v>#NUM!</v>
      </c>
    </row>
    <row r="1618" spans="1:8" x14ac:dyDescent="0.2">
      <c r="A1618" s="1">
        <v>42527</v>
      </c>
      <c r="B1618">
        <v>716.54998799999998</v>
      </c>
      <c r="C1618" s="2">
        <f t="shared" si="109"/>
        <v>-8.0156696065244899E-3</v>
      </c>
      <c r="D1618">
        <v>-0.27361694142299187</v>
      </c>
      <c r="E1618" s="15">
        <v>0</v>
      </c>
      <c r="F1618">
        <f t="shared" si="112"/>
        <v>90.38788229997563</v>
      </c>
      <c r="G1618">
        <f t="shared" si="110"/>
        <v>0</v>
      </c>
      <c r="H1618" t="e">
        <f t="shared" si="111"/>
        <v>#NUM!</v>
      </c>
    </row>
    <row r="1619" spans="1:8" x14ac:dyDescent="0.2">
      <c r="A1619" s="1">
        <v>42528</v>
      </c>
      <c r="B1619">
        <v>716.65002400000003</v>
      </c>
      <c r="C1619" s="2">
        <f t="shared" si="109"/>
        <v>1.396078454753188E-4</v>
      </c>
      <c r="D1619">
        <v>-1.0174168662542782</v>
      </c>
      <c r="E1619" s="15">
        <v>1</v>
      </c>
      <c r="F1619">
        <f t="shared" si="112"/>
        <v>7.7467106555560719</v>
      </c>
      <c r="G1619">
        <f t="shared" si="110"/>
        <v>0.12908704667868073</v>
      </c>
      <c r="H1619">
        <f t="shared" si="111"/>
        <v>-3599.6050158867502</v>
      </c>
    </row>
    <row r="1620" spans="1:8" x14ac:dyDescent="0.2">
      <c r="A1620" s="1">
        <v>42529</v>
      </c>
      <c r="B1620">
        <v>728.28002900000001</v>
      </c>
      <c r="C1620" s="2">
        <f t="shared" si="109"/>
        <v>1.6228290812141218E-2</v>
      </c>
      <c r="D1620">
        <v>115.2419687581971</v>
      </c>
      <c r="E1620" s="15">
        <v>0</v>
      </c>
      <c r="F1620">
        <f t="shared" si="112"/>
        <v>0.66881128789532751</v>
      </c>
      <c r="G1620">
        <f t="shared" si="110"/>
        <v>0</v>
      </c>
      <c r="H1620" t="e">
        <f t="shared" si="111"/>
        <v>#NUM!</v>
      </c>
    </row>
    <row r="1621" spans="1:8" x14ac:dyDescent="0.2">
      <c r="A1621" s="1">
        <v>42530</v>
      </c>
      <c r="B1621">
        <v>728.580017</v>
      </c>
      <c r="C1621" s="2">
        <f t="shared" si="109"/>
        <v>4.1191298409198147E-4</v>
      </c>
      <c r="D1621">
        <v>-0.97461759905215595</v>
      </c>
      <c r="E1621" s="15">
        <v>0</v>
      </c>
      <c r="F1621">
        <f t="shared" si="112"/>
        <v>6.0267522950436074E-2</v>
      </c>
      <c r="G1621">
        <f t="shared" si="110"/>
        <v>0</v>
      </c>
      <c r="H1621" t="e">
        <f t="shared" si="111"/>
        <v>#NUM!</v>
      </c>
    </row>
    <row r="1622" spans="1:8" x14ac:dyDescent="0.2">
      <c r="A1622" s="1">
        <v>42531</v>
      </c>
      <c r="B1622">
        <v>719.40997300000004</v>
      </c>
      <c r="C1622" s="2">
        <f t="shared" si="109"/>
        <v>-1.2586186535500275E-2</v>
      </c>
      <c r="D1622">
        <v>-31.555449868241443</v>
      </c>
      <c r="E1622" s="15">
        <v>0</v>
      </c>
      <c r="F1622">
        <f t="shared" si="112"/>
        <v>8.1321520623354997E-3</v>
      </c>
      <c r="G1622">
        <f t="shared" si="110"/>
        <v>0</v>
      </c>
      <c r="H1622" t="e">
        <f t="shared" si="111"/>
        <v>#NUM!</v>
      </c>
    </row>
    <row r="1623" spans="1:8" x14ac:dyDescent="0.2">
      <c r="A1623" s="1">
        <v>42534</v>
      </c>
      <c r="B1623">
        <v>718.35998500000005</v>
      </c>
      <c r="C1623" s="2">
        <f t="shared" si="109"/>
        <v>-1.4595127109809816E-3</v>
      </c>
      <c r="D1623">
        <v>-0.88403852851979292</v>
      </c>
      <c r="E1623" s="15">
        <v>0</v>
      </c>
      <c r="F1623">
        <f t="shared" si="112"/>
        <v>3.6655926228743941E-3</v>
      </c>
      <c r="G1623">
        <f t="shared" si="110"/>
        <v>0</v>
      </c>
      <c r="H1623" t="e">
        <f t="shared" si="111"/>
        <v>#NUM!</v>
      </c>
    </row>
    <row r="1624" spans="1:8" x14ac:dyDescent="0.2">
      <c r="A1624" s="1">
        <v>42535</v>
      </c>
      <c r="B1624">
        <v>718.27002000000005</v>
      </c>
      <c r="C1624" s="2">
        <f t="shared" si="109"/>
        <v>-1.2523665276262082E-4</v>
      </c>
      <c r="D1624">
        <v>-0.91419283174420207</v>
      </c>
      <c r="E1624" s="15">
        <v>0</v>
      </c>
      <c r="F1624">
        <f t="shared" si="112"/>
        <v>3.2829320052093045E-3</v>
      </c>
      <c r="G1624">
        <f t="shared" si="110"/>
        <v>0</v>
      </c>
      <c r="H1624" t="e">
        <f t="shared" si="111"/>
        <v>#NUM!</v>
      </c>
    </row>
    <row r="1625" spans="1:8" x14ac:dyDescent="0.2">
      <c r="A1625" s="1">
        <v>42536</v>
      </c>
      <c r="B1625">
        <v>718.919983</v>
      </c>
      <c r="C1625" s="2">
        <f t="shared" si="109"/>
        <v>9.0490063889894356E-4</v>
      </c>
      <c r="D1625">
        <v>-8.2255255864601633</v>
      </c>
      <c r="E1625" s="15">
        <v>0</v>
      </c>
      <c r="F1625">
        <f t="shared" si="112"/>
        <v>3.2501485730628168E-3</v>
      </c>
      <c r="G1625">
        <f t="shared" si="110"/>
        <v>0</v>
      </c>
      <c r="H1625" t="e">
        <f t="shared" si="111"/>
        <v>#NUM!</v>
      </c>
    </row>
    <row r="1626" spans="1:8" x14ac:dyDescent="0.2">
      <c r="A1626" s="1">
        <v>42537</v>
      </c>
      <c r="B1626">
        <v>710.35998500000005</v>
      </c>
      <c r="C1626" s="2">
        <f t="shared" si="109"/>
        <v>-1.1906746512010574E-2</v>
      </c>
      <c r="D1626">
        <v>-14.158070621431268</v>
      </c>
      <c r="E1626" s="15">
        <v>1</v>
      </c>
      <c r="F1626">
        <f t="shared" si="112"/>
        <v>3.2473399395800684E-3</v>
      </c>
      <c r="G1626">
        <f t="shared" si="110"/>
        <v>307.9443540269811</v>
      </c>
      <c r="H1626">
        <f t="shared" si="111"/>
        <v>-4.9769444920577239</v>
      </c>
    </row>
    <row r="1627" spans="1:8" x14ac:dyDescent="0.2">
      <c r="A1627" s="1">
        <v>42538</v>
      </c>
      <c r="B1627">
        <v>691.71997099999999</v>
      </c>
      <c r="C1627" s="2">
        <f t="shared" si="109"/>
        <v>-2.6240236490798482E-2</v>
      </c>
      <c r="D1627">
        <v>1.2038124742413412</v>
      </c>
      <c r="E1627" s="15">
        <v>0</v>
      </c>
      <c r="F1627">
        <f t="shared" si="112"/>
        <v>12312.408881302048</v>
      </c>
      <c r="G1627">
        <f t="shared" si="110"/>
        <v>0</v>
      </c>
      <c r="H1627" t="e">
        <f t="shared" si="111"/>
        <v>#NUM!</v>
      </c>
    </row>
    <row r="1628" spans="1:8" x14ac:dyDescent="0.2">
      <c r="A1628" s="1">
        <v>42541</v>
      </c>
      <c r="B1628">
        <v>693.71002199999998</v>
      </c>
      <c r="C1628" s="2">
        <f t="shared" si="109"/>
        <v>2.8769604513847326E-3</v>
      </c>
      <c r="D1628">
        <v>-1.1096392729689606</v>
      </c>
      <c r="E1628" s="15">
        <v>1</v>
      </c>
      <c r="F1628">
        <f t="shared" si="112"/>
        <v>1054.8359004409942</v>
      </c>
      <c r="G1628">
        <f t="shared" si="110"/>
        <v>9.4801475715979228E-4</v>
      </c>
      <c r="H1628">
        <f t="shared" si="111"/>
        <v>-1238054060466.7568</v>
      </c>
    </row>
    <row r="1629" spans="1:8" x14ac:dyDescent="0.2">
      <c r="A1629" s="1">
        <v>42542</v>
      </c>
      <c r="B1629">
        <v>695.94000200000005</v>
      </c>
      <c r="C1629" s="2">
        <f t="shared" si="109"/>
        <v>3.2145708282704738E-3</v>
      </c>
      <c r="D1629">
        <v>0.11734967601770242</v>
      </c>
      <c r="E1629" s="15">
        <v>0</v>
      </c>
      <c r="F1629">
        <f t="shared" si="112"/>
        <v>90.373233340640411</v>
      </c>
      <c r="G1629">
        <f t="shared" si="110"/>
        <v>0</v>
      </c>
      <c r="H1629" t="e">
        <f t="shared" si="111"/>
        <v>#NUM!</v>
      </c>
    </row>
    <row r="1630" spans="1:8" x14ac:dyDescent="0.2">
      <c r="A1630" s="1">
        <v>42543</v>
      </c>
      <c r="B1630">
        <v>697.46002199999998</v>
      </c>
      <c r="C1630" s="2">
        <f t="shared" si="109"/>
        <v>2.1841250619761489E-3</v>
      </c>
      <c r="D1630">
        <v>-0.32055469340793236</v>
      </c>
      <c r="E1630" s="15">
        <v>1</v>
      </c>
      <c r="F1630">
        <f t="shared" si="112"/>
        <v>7.7454556448698062</v>
      </c>
      <c r="G1630">
        <f t="shared" si="110"/>
        <v>0.12910796289464893</v>
      </c>
      <c r="H1630">
        <f t="shared" si="111"/>
        <v>-3597.2719463315252</v>
      </c>
    </row>
    <row r="1631" spans="1:8" x14ac:dyDescent="0.2">
      <c r="A1631" s="1">
        <v>42544</v>
      </c>
      <c r="B1631">
        <v>701.86999500000002</v>
      </c>
      <c r="C1631" s="2">
        <f t="shared" si="109"/>
        <v>6.3229043398849265E-3</v>
      </c>
      <c r="D1631">
        <v>1.8949369475043247</v>
      </c>
      <c r="E1631" s="15">
        <v>0</v>
      </c>
      <c r="F1631">
        <f t="shared" si="112"/>
        <v>0.66870446936762618</v>
      </c>
      <c r="G1631">
        <f t="shared" si="110"/>
        <v>0</v>
      </c>
      <c r="H1631" t="e">
        <f t="shared" si="111"/>
        <v>#NUM!</v>
      </c>
    </row>
    <row r="1632" spans="1:8" x14ac:dyDescent="0.2">
      <c r="A1632" s="1">
        <v>42545</v>
      </c>
      <c r="B1632">
        <v>675.21997099999999</v>
      </c>
      <c r="C1632" s="2">
        <f t="shared" si="109"/>
        <v>-3.7970028908273862E-2</v>
      </c>
      <c r="D1632">
        <v>-7.0051563122280127</v>
      </c>
      <c r="E1632" s="15">
        <v>0</v>
      </c>
      <c r="F1632">
        <f t="shared" si="112"/>
        <v>6.0258371556764438E-2</v>
      </c>
      <c r="G1632">
        <f t="shared" si="110"/>
        <v>0</v>
      </c>
      <c r="H1632" t="e">
        <f t="shared" si="111"/>
        <v>#NUM!</v>
      </c>
    </row>
    <row r="1633" spans="1:8" x14ac:dyDescent="0.2">
      <c r="A1633" s="1">
        <v>42548</v>
      </c>
      <c r="B1633">
        <v>668.26000999999997</v>
      </c>
      <c r="C1633" s="2">
        <f t="shared" si="109"/>
        <v>-1.0307694231395921E-2</v>
      </c>
      <c r="D1633">
        <v>-0.72853077735872296</v>
      </c>
      <c r="E1633" s="15">
        <v>0</v>
      </c>
      <c r="F1633">
        <f t="shared" si="112"/>
        <v>8.1313680409869984E-3</v>
      </c>
      <c r="G1633">
        <f t="shared" si="110"/>
        <v>0</v>
      </c>
      <c r="H1633" t="e">
        <f t="shared" si="111"/>
        <v>#NUM!</v>
      </c>
    </row>
    <row r="1634" spans="1:8" x14ac:dyDescent="0.2">
      <c r="A1634" s="1">
        <v>42549</v>
      </c>
      <c r="B1634">
        <v>680.03997800000002</v>
      </c>
      <c r="C1634" s="2">
        <f t="shared" si="109"/>
        <v>1.7627821242812442E-2</v>
      </c>
      <c r="D1634">
        <v>-2.7101614431984555</v>
      </c>
      <c r="E1634" s="15">
        <v>0</v>
      </c>
      <c r="F1634">
        <f t="shared" si="112"/>
        <v>3.6655254539275694E-3</v>
      </c>
      <c r="G1634">
        <f t="shared" si="110"/>
        <v>0</v>
      </c>
      <c r="H1634" t="e">
        <f t="shared" si="111"/>
        <v>#NUM!</v>
      </c>
    </row>
    <row r="1635" spans="1:8" x14ac:dyDescent="0.2">
      <c r="A1635" s="1">
        <v>42550</v>
      </c>
      <c r="B1635">
        <v>684.10998500000005</v>
      </c>
      <c r="C1635" s="2">
        <f t="shared" si="109"/>
        <v>5.9849525493632554E-3</v>
      </c>
      <c r="D1635">
        <v>-0.66048257087905538</v>
      </c>
      <c r="E1635" s="15">
        <v>1</v>
      </c>
      <c r="F1635">
        <f t="shared" si="112"/>
        <v>3.2829262506881727E-3</v>
      </c>
      <c r="G1635">
        <f t="shared" si="110"/>
        <v>304.60629439676819</v>
      </c>
      <c r="H1635">
        <f t="shared" si="111"/>
        <v>-4.9674777468590756</v>
      </c>
    </row>
    <row r="1636" spans="1:8" x14ac:dyDescent="0.2">
      <c r="A1636" s="1">
        <v>42551</v>
      </c>
      <c r="B1636">
        <v>692.09997599999997</v>
      </c>
      <c r="C1636" s="2">
        <f t="shared" si="109"/>
        <v>1.167939538260053E-2</v>
      </c>
      <c r="D1636">
        <v>0.95145998005332744</v>
      </c>
      <c r="E1636" s="15">
        <v>0</v>
      </c>
      <c r="F1636">
        <f t="shared" si="112"/>
        <v>12046.927228661129</v>
      </c>
      <c r="G1636">
        <f t="shared" si="110"/>
        <v>0</v>
      </c>
      <c r="H1636" t="e">
        <f t="shared" si="111"/>
        <v>#NUM!</v>
      </c>
    </row>
    <row r="1637" spans="1:8" x14ac:dyDescent="0.2">
      <c r="A1637" s="1">
        <v>42552</v>
      </c>
      <c r="B1637">
        <v>699.21002199999998</v>
      </c>
      <c r="C1637" s="2">
        <f t="shared" si="109"/>
        <v>1.0273148745203846E-2</v>
      </c>
      <c r="D1637">
        <v>-0.12040406128314235</v>
      </c>
      <c r="E1637" s="15">
        <v>0</v>
      </c>
      <c r="F1637">
        <f t="shared" si="112"/>
        <v>1032.0914649184751</v>
      </c>
      <c r="G1637">
        <f t="shared" si="110"/>
        <v>0</v>
      </c>
      <c r="H1637" t="e">
        <f t="shared" si="111"/>
        <v>#NUM!</v>
      </c>
    </row>
    <row r="1638" spans="1:8" x14ac:dyDescent="0.2">
      <c r="A1638" s="1">
        <v>42556</v>
      </c>
      <c r="B1638">
        <v>694.95001200000002</v>
      </c>
      <c r="C1638" s="2">
        <f t="shared" si="109"/>
        <v>-6.0926043191068075E-3</v>
      </c>
      <c r="D1638">
        <v>-1.5930610439132618</v>
      </c>
      <c r="E1638" s="15">
        <v>0</v>
      </c>
      <c r="F1638">
        <f t="shared" si="112"/>
        <v>88.42466411534474</v>
      </c>
      <c r="G1638">
        <f t="shared" si="110"/>
        <v>0</v>
      </c>
      <c r="H1638" t="e">
        <f t="shared" si="111"/>
        <v>#NUM!</v>
      </c>
    </row>
    <row r="1639" spans="1:8" x14ac:dyDescent="0.2">
      <c r="A1639" s="1">
        <v>42557</v>
      </c>
      <c r="B1639">
        <v>697.77002000000005</v>
      </c>
      <c r="C1639" s="2">
        <f t="shared" si="109"/>
        <v>4.0578573297442144E-3</v>
      </c>
      <c r="D1639">
        <v>-1.6660300123246978</v>
      </c>
      <c r="E1639" s="15">
        <v>0</v>
      </c>
      <c r="F1639">
        <f t="shared" si="112"/>
        <v>7.5785171515124246</v>
      </c>
      <c r="G1639">
        <f t="shared" si="110"/>
        <v>0</v>
      </c>
      <c r="H1639" t="e">
        <f t="shared" si="111"/>
        <v>#NUM!</v>
      </c>
    </row>
    <row r="1640" spans="1:8" x14ac:dyDescent="0.2">
      <c r="A1640" s="1">
        <v>42558</v>
      </c>
      <c r="B1640">
        <v>695.35998500000005</v>
      </c>
      <c r="C1640" s="2">
        <f t="shared" si="109"/>
        <v>-3.4539102152884031E-3</v>
      </c>
      <c r="D1640">
        <v>-1.8511660057565698</v>
      </c>
      <c r="E1640" s="15">
        <v>0</v>
      </c>
      <c r="F1640">
        <f t="shared" si="112"/>
        <v>0.65223822198468429</v>
      </c>
      <c r="G1640">
        <f t="shared" si="110"/>
        <v>0</v>
      </c>
      <c r="H1640" t="e">
        <f t="shared" si="111"/>
        <v>#NUM!</v>
      </c>
    </row>
    <row r="1641" spans="1:8" x14ac:dyDescent="0.2">
      <c r="A1641" s="1">
        <v>42559</v>
      </c>
      <c r="B1641">
        <v>705.63000499999998</v>
      </c>
      <c r="C1641" s="2">
        <f t="shared" si="109"/>
        <v>1.4769357198487529E-2</v>
      </c>
      <c r="D1641">
        <v>-5.2761265574051066</v>
      </c>
      <c r="E1641" s="15">
        <v>0</v>
      </c>
      <c r="F1641">
        <f t="shared" si="112"/>
        <v>5.8847669543372463E-2</v>
      </c>
      <c r="G1641">
        <f t="shared" si="110"/>
        <v>0</v>
      </c>
      <c r="H1641" t="e">
        <f t="shared" si="111"/>
        <v>#NUM!</v>
      </c>
    </row>
    <row r="1642" spans="1:8" x14ac:dyDescent="0.2">
      <c r="A1642" s="1">
        <v>42562</v>
      </c>
      <c r="B1642">
        <v>715.09002699999996</v>
      </c>
      <c r="C1642" s="2">
        <f t="shared" si="109"/>
        <v>1.3406490558745416E-2</v>
      </c>
      <c r="D1642">
        <v>-9.2276638815511777E-2</v>
      </c>
      <c r="E1642" s="15">
        <v>0</v>
      </c>
      <c r="F1642">
        <f t="shared" si="112"/>
        <v>8.0105098925390538E-3</v>
      </c>
      <c r="G1642">
        <f t="shared" si="110"/>
        <v>0</v>
      </c>
      <c r="H1642" t="e">
        <f t="shared" si="111"/>
        <v>#NUM!</v>
      </c>
    </row>
    <row r="1643" spans="1:8" x14ac:dyDescent="0.2">
      <c r="A1643" s="1">
        <v>42563</v>
      </c>
      <c r="B1643">
        <v>720.64001499999995</v>
      </c>
      <c r="C1643" s="2">
        <f t="shared" si="109"/>
        <v>7.7612437461667821E-3</v>
      </c>
      <c r="D1643">
        <v>-0.42108311551348443</v>
      </c>
      <c r="E1643" s="15">
        <v>0</v>
      </c>
      <c r="F1643">
        <f t="shared" si="112"/>
        <v>3.6551712530349624E-3</v>
      </c>
      <c r="G1643">
        <f t="shared" si="110"/>
        <v>0</v>
      </c>
      <c r="H1643" t="e">
        <f t="shared" si="111"/>
        <v>#NUM!</v>
      </c>
    </row>
    <row r="1644" spans="1:8" x14ac:dyDescent="0.2">
      <c r="A1644" s="1">
        <v>42564</v>
      </c>
      <c r="B1644">
        <v>716.97997999999995</v>
      </c>
      <c r="C1644" s="2">
        <f t="shared" si="109"/>
        <v>-5.078867289932538E-3</v>
      </c>
      <c r="D1644">
        <v>-1.6543883243508428</v>
      </c>
      <c r="E1644" s="15">
        <v>0</v>
      </c>
      <c r="F1644">
        <f t="shared" si="112"/>
        <v>3.2820391820254369E-3</v>
      </c>
      <c r="G1644">
        <f t="shared" si="110"/>
        <v>0</v>
      </c>
      <c r="H1644" t="e">
        <f t="shared" si="111"/>
        <v>#NUM!</v>
      </c>
    </row>
    <row r="1645" spans="1:8" x14ac:dyDescent="0.2">
      <c r="A1645" s="1">
        <v>42565</v>
      </c>
      <c r="B1645">
        <v>720.95001200000002</v>
      </c>
      <c r="C1645" s="2">
        <f t="shared" si="109"/>
        <v>5.5371587920768168E-3</v>
      </c>
      <c r="D1645">
        <v>-2.0902349827200086</v>
      </c>
      <c r="E1645" s="15">
        <v>0</v>
      </c>
      <c r="F1645">
        <f t="shared" si="112"/>
        <v>3.2500720828077031E-3</v>
      </c>
      <c r="G1645">
        <f t="shared" si="110"/>
        <v>0</v>
      </c>
      <c r="H1645" t="e">
        <f t="shared" si="111"/>
        <v>#NUM!</v>
      </c>
    </row>
    <row r="1646" spans="1:8" x14ac:dyDescent="0.2">
      <c r="A1646" s="1">
        <v>42566</v>
      </c>
      <c r="B1646">
        <v>719.84997599999997</v>
      </c>
      <c r="C1646" s="2">
        <f t="shared" si="109"/>
        <v>-1.5258145248495335E-3</v>
      </c>
      <c r="D1646">
        <v>-1.2755591056974633</v>
      </c>
      <c r="E1646" s="15">
        <v>0</v>
      </c>
      <c r="F1646">
        <f t="shared" si="112"/>
        <v>3.2473333864806047E-3</v>
      </c>
      <c r="G1646">
        <f t="shared" si="110"/>
        <v>0</v>
      </c>
      <c r="H1646" t="e">
        <f t="shared" si="111"/>
        <v>#NUM!</v>
      </c>
    </row>
    <row r="1647" spans="1:8" x14ac:dyDescent="0.2">
      <c r="A1647" s="1">
        <v>42569</v>
      </c>
      <c r="B1647">
        <v>733.78002900000001</v>
      </c>
      <c r="C1647" s="2">
        <f t="shared" si="109"/>
        <v>1.9351328005045378E-2</v>
      </c>
      <c r="D1647">
        <v>-13.682621439164558</v>
      </c>
      <c r="E1647" s="15">
        <v>0</v>
      </c>
      <c r="F1647">
        <f t="shared" si="112"/>
        <v>3.2470987559462239E-3</v>
      </c>
      <c r="G1647">
        <f t="shared" si="110"/>
        <v>0</v>
      </c>
      <c r="H1647" t="e">
        <f t="shared" si="111"/>
        <v>#NUM!</v>
      </c>
    </row>
    <row r="1648" spans="1:8" x14ac:dyDescent="0.2">
      <c r="A1648" s="1">
        <v>42570</v>
      </c>
      <c r="B1648">
        <v>736.96002199999998</v>
      </c>
      <c r="C1648" s="2">
        <f t="shared" si="109"/>
        <v>4.3337142935515457E-3</v>
      </c>
      <c r="D1648">
        <v>-0.77605080682722982</v>
      </c>
      <c r="E1648" s="15">
        <v>1</v>
      </c>
      <c r="F1648">
        <f t="shared" si="112"/>
        <v>3.2470786545983235E-3</v>
      </c>
      <c r="G1648">
        <f t="shared" si="110"/>
        <v>307.96913360378824</v>
      </c>
      <c r="H1648">
        <f t="shared" si="111"/>
        <v>-4.9770143826101325</v>
      </c>
    </row>
    <row r="1649" spans="1:8" x14ac:dyDescent="0.2">
      <c r="A1649" s="1">
        <v>42571</v>
      </c>
      <c r="B1649">
        <v>741.19000200000005</v>
      </c>
      <c r="C1649" s="2">
        <f t="shared" si="109"/>
        <v>5.7397686085067842E-3</v>
      </c>
      <c r="D1649">
        <v>0.32444554940952403</v>
      </c>
      <c r="E1649" s="15">
        <v>0</v>
      </c>
      <c r="F1649">
        <f t="shared" si="112"/>
        <v>12314.390463161582</v>
      </c>
      <c r="G1649">
        <f t="shared" si="110"/>
        <v>0</v>
      </c>
      <c r="H1649" t="e">
        <f t="shared" si="111"/>
        <v>#NUM!</v>
      </c>
    </row>
    <row r="1650" spans="1:8" x14ac:dyDescent="0.2">
      <c r="A1650" s="1">
        <v>42572</v>
      </c>
      <c r="B1650">
        <v>738.63000499999998</v>
      </c>
      <c r="C1650" s="2">
        <f t="shared" si="109"/>
        <v>-3.4539011496273076E-3</v>
      </c>
      <c r="D1650">
        <v>-1.6017491967373663</v>
      </c>
      <c r="E1650" s="15">
        <v>0</v>
      </c>
      <c r="F1650">
        <f t="shared" si="112"/>
        <v>1055.0056672041151</v>
      </c>
      <c r="G1650">
        <f t="shared" si="110"/>
        <v>0</v>
      </c>
      <c r="H1650" t="e">
        <f t="shared" si="111"/>
        <v>#NUM!</v>
      </c>
    </row>
    <row r="1651" spans="1:8" x14ac:dyDescent="0.2">
      <c r="A1651" s="1">
        <v>42573</v>
      </c>
      <c r="B1651">
        <v>742.73999000000003</v>
      </c>
      <c r="C1651" s="2">
        <f t="shared" si="109"/>
        <v>5.5643352858378015E-3</v>
      </c>
      <c r="D1651">
        <v>-2.6110291073148457</v>
      </c>
      <c r="E1651" s="15">
        <v>0</v>
      </c>
      <c r="F1651">
        <f t="shared" si="112"/>
        <v>90.387777540514719</v>
      </c>
      <c r="G1651">
        <f t="shared" si="110"/>
        <v>0</v>
      </c>
      <c r="H1651" t="e">
        <f t="shared" si="111"/>
        <v>#NUM!</v>
      </c>
    </row>
    <row r="1652" spans="1:8" x14ac:dyDescent="0.2">
      <c r="A1652" s="1">
        <v>42576</v>
      </c>
      <c r="B1652">
        <v>739.77002000000005</v>
      </c>
      <c r="C1652" s="2">
        <f t="shared" si="109"/>
        <v>-3.9986671513405235E-3</v>
      </c>
      <c r="D1652">
        <v>-1.7186244081153459</v>
      </c>
      <c r="E1652" s="15">
        <v>0</v>
      </c>
      <c r="F1652">
        <f t="shared" si="112"/>
        <v>7.7467016805674787</v>
      </c>
      <c r="G1652">
        <f t="shared" si="110"/>
        <v>0</v>
      </c>
      <c r="H1652" t="e">
        <f t="shared" si="111"/>
        <v>#NUM!</v>
      </c>
    </row>
    <row r="1653" spans="1:8" x14ac:dyDescent="0.2">
      <c r="A1653" s="1">
        <v>42577</v>
      </c>
      <c r="B1653">
        <v>738.419983</v>
      </c>
      <c r="C1653" s="2">
        <f t="shared" si="109"/>
        <v>-1.8249414865447546E-3</v>
      </c>
      <c r="D1653">
        <v>-0.54361255451508217</v>
      </c>
      <c r="E1653" s="15">
        <v>0</v>
      </c>
      <c r="F1653">
        <f t="shared" si="112"/>
        <v>0.66664698484616858</v>
      </c>
      <c r="G1653">
        <f t="shared" si="110"/>
        <v>0</v>
      </c>
      <c r="H1653" t="e">
        <f t="shared" si="111"/>
        <v>#NUM!</v>
      </c>
    </row>
    <row r="1654" spans="1:8" x14ac:dyDescent="0.2">
      <c r="A1654" s="1">
        <v>42578</v>
      </c>
      <c r="B1654">
        <v>741.77002000000005</v>
      </c>
      <c r="C1654" s="2">
        <f t="shared" si="109"/>
        <v>4.5367637349002284E-3</v>
      </c>
      <c r="D1654">
        <v>-3.4859776427626135</v>
      </c>
      <c r="E1654" s="15">
        <v>1</v>
      </c>
      <c r="F1654">
        <f t="shared" si="112"/>
        <v>6.0082102034666164E-2</v>
      </c>
      <c r="G1654">
        <f t="shared" si="110"/>
        <v>16.643891710430172</v>
      </c>
      <c r="H1654">
        <f t="shared" si="111"/>
        <v>-2.4425227940721341</v>
      </c>
    </row>
    <row r="1655" spans="1:8" x14ac:dyDescent="0.2">
      <c r="A1655" s="1">
        <v>42579</v>
      </c>
      <c r="B1655">
        <v>745.90997300000004</v>
      </c>
      <c r="C1655" s="2">
        <f t="shared" si="109"/>
        <v>5.5811813478252887E-3</v>
      </c>
      <c r="D1655">
        <v>0.23021203526439071</v>
      </c>
      <c r="E1655" s="15">
        <v>1</v>
      </c>
      <c r="F1655">
        <f t="shared" si="112"/>
        <v>35.975445142061936</v>
      </c>
      <c r="G1655">
        <f t="shared" si="110"/>
        <v>2.7796737359361133E-2</v>
      </c>
      <c r="H1655">
        <f t="shared" si="111"/>
        <v>-1675035.0485178304</v>
      </c>
    </row>
    <row r="1656" spans="1:8" x14ac:dyDescent="0.2">
      <c r="A1656" s="1">
        <v>42580</v>
      </c>
      <c r="B1656">
        <v>768.78997800000002</v>
      </c>
      <c r="C1656" s="2">
        <f t="shared" si="109"/>
        <v>3.0673949710014109E-2</v>
      </c>
      <c r="D1656">
        <v>4.4959600483088114</v>
      </c>
      <c r="E1656" s="15">
        <v>0</v>
      </c>
      <c r="F1656">
        <f t="shared" si="112"/>
        <v>3.0851699305369453</v>
      </c>
      <c r="G1656">
        <f t="shared" si="110"/>
        <v>0</v>
      </c>
      <c r="H1656" t="e">
        <f t="shared" si="111"/>
        <v>#NUM!</v>
      </c>
    </row>
    <row r="1657" spans="1:8" x14ac:dyDescent="0.2">
      <c r="A1657" s="1">
        <v>42583</v>
      </c>
      <c r="B1657">
        <v>772.88000499999998</v>
      </c>
      <c r="C1657" s="2">
        <f t="shared" si="109"/>
        <v>5.3200836600915775E-3</v>
      </c>
      <c r="D1657">
        <v>-0.82656020139608133</v>
      </c>
      <c r="E1657" s="15">
        <v>0</v>
      </c>
      <c r="F1657">
        <f t="shared" si="112"/>
        <v>0.26728263228147375</v>
      </c>
      <c r="G1657">
        <f t="shared" si="110"/>
        <v>0</v>
      </c>
      <c r="H1657" t="e">
        <f t="shared" si="111"/>
        <v>#NUM!</v>
      </c>
    </row>
    <row r="1658" spans="1:8" x14ac:dyDescent="0.2">
      <c r="A1658" s="1">
        <v>42584</v>
      </c>
      <c r="B1658">
        <v>771.07000700000003</v>
      </c>
      <c r="C1658" s="2">
        <f t="shared" si="109"/>
        <v>-2.3418874706170596E-3</v>
      </c>
      <c r="D1658">
        <v>-1.4401974894087939</v>
      </c>
      <c r="E1658" s="15">
        <v>0</v>
      </c>
      <c r="F1658">
        <f t="shared" si="112"/>
        <v>2.5867621762516745E-2</v>
      </c>
      <c r="G1658">
        <f t="shared" si="110"/>
        <v>0</v>
      </c>
      <c r="H1658" t="e">
        <f t="shared" si="111"/>
        <v>#NUM!</v>
      </c>
    </row>
    <row r="1659" spans="1:8" x14ac:dyDescent="0.2">
      <c r="A1659" s="1">
        <v>42585</v>
      </c>
      <c r="B1659">
        <v>773.17999299999997</v>
      </c>
      <c r="C1659" s="2">
        <f t="shared" si="109"/>
        <v>2.7364389495698996E-3</v>
      </c>
      <c r="D1659">
        <v>-2.1684758486063722</v>
      </c>
      <c r="E1659" s="15">
        <v>0</v>
      </c>
      <c r="F1659">
        <f t="shared" si="112"/>
        <v>5.1850318874889171E-3</v>
      </c>
      <c r="G1659">
        <f t="shared" si="110"/>
        <v>0</v>
      </c>
      <c r="H1659" t="e">
        <f t="shared" si="111"/>
        <v>#NUM!</v>
      </c>
    </row>
    <row r="1660" spans="1:8" x14ac:dyDescent="0.2">
      <c r="A1660" s="1">
        <v>42586</v>
      </c>
      <c r="B1660">
        <v>771.60998500000005</v>
      </c>
      <c r="C1660" s="2">
        <f t="shared" si="109"/>
        <v>-2.0305853930701959E-3</v>
      </c>
      <c r="D1660">
        <v>-1.7420539725139321</v>
      </c>
      <c r="E1660" s="15">
        <v>0</v>
      </c>
      <c r="F1660">
        <f t="shared" si="112"/>
        <v>3.4131059288708093E-3</v>
      </c>
      <c r="G1660">
        <f t="shared" si="110"/>
        <v>0</v>
      </c>
      <c r="H1660" t="e">
        <f t="shared" si="111"/>
        <v>#NUM!</v>
      </c>
    </row>
    <row r="1661" spans="1:8" x14ac:dyDescent="0.2">
      <c r="A1661" s="1">
        <v>42587</v>
      </c>
      <c r="B1661">
        <v>782.21997099999999</v>
      </c>
      <c r="C1661" s="2">
        <f t="shared" si="109"/>
        <v>1.3750451920344103E-2</v>
      </c>
      <c r="D1661">
        <v>-7.7716688829095499</v>
      </c>
      <c r="E1661" s="15">
        <v>0</v>
      </c>
      <c r="F1661">
        <f t="shared" si="112"/>
        <v>3.2613008782559631E-3</v>
      </c>
      <c r="G1661">
        <f t="shared" si="110"/>
        <v>0</v>
      </c>
      <c r="H1661" t="e">
        <f t="shared" si="111"/>
        <v>#NUM!</v>
      </c>
    </row>
    <row r="1662" spans="1:8" x14ac:dyDescent="0.2">
      <c r="A1662" s="1">
        <v>42590</v>
      </c>
      <c r="B1662">
        <v>781.76000999999997</v>
      </c>
      <c r="C1662" s="2">
        <f t="shared" si="109"/>
        <v>-5.8802001617524688E-4</v>
      </c>
      <c r="D1662">
        <v>-1.0427636865742034</v>
      </c>
      <c r="E1662" s="15">
        <v>0</v>
      </c>
      <c r="F1662">
        <f t="shared" si="112"/>
        <v>3.2482953837091435E-3</v>
      </c>
      <c r="G1662">
        <f t="shared" si="110"/>
        <v>0</v>
      </c>
      <c r="H1662" t="e">
        <f t="shared" si="111"/>
        <v>#NUM!</v>
      </c>
    </row>
    <row r="1663" spans="1:8" x14ac:dyDescent="0.2">
      <c r="A1663" s="1">
        <v>42591</v>
      </c>
      <c r="B1663">
        <v>784.26000999999997</v>
      </c>
      <c r="C1663" s="2">
        <f t="shared" si="109"/>
        <v>3.1979123618768885E-3</v>
      </c>
      <c r="D1663">
        <v>-6.438441335173561</v>
      </c>
      <c r="E1663" s="15">
        <v>0</v>
      </c>
      <c r="F1663">
        <f t="shared" si="112"/>
        <v>3.2471811725039018E-3</v>
      </c>
      <c r="G1663">
        <f t="shared" si="110"/>
        <v>0</v>
      </c>
      <c r="H1663" t="e">
        <f t="shared" si="111"/>
        <v>#NUM!</v>
      </c>
    </row>
    <row r="1664" spans="1:8" x14ac:dyDescent="0.2">
      <c r="A1664" s="1">
        <v>42592</v>
      </c>
      <c r="B1664">
        <v>784.67999299999997</v>
      </c>
      <c r="C1664" s="2">
        <f t="shared" si="109"/>
        <v>5.3551500094975132E-4</v>
      </c>
      <c r="D1664">
        <v>-0.832542315000949</v>
      </c>
      <c r="E1664" s="15">
        <v>0</v>
      </c>
      <c r="F1664">
        <f t="shared" si="112"/>
        <v>3.2470857154180202E-3</v>
      </c>
      <c r="G1664">
        <f t="shared" si="110"/>
        <v>0</v>
      </c>
      <c r="H1664" t="e">
        <f t="shared" si="111"/>
        <v>#NUM!</v>
      </c>
    </row>
    <row r="1665" spans="1:8" x14ac:dyDescent="0.2">
      <c r="A1665" s="1">
        <v>42593</v>
      </c>
      <c r="B1665">
        <v>784.84997599999997</v>
      </c>
      <c r="C1665" s="2">
        <f t="shared" si="109"/>
        <v>2.1662716204872321E-4</v>
      </c>
      <c r="D1665">
        <v>-0.59547881634589384</v>
      </c>
      <c r="E1665" s="15">
        <v>0</v>
      </c>
      <c r="F1665">
        <f t="shared" si="112"/>
        <v>3.2470775373857029E-3</v>
      </c>
      <c r="G1665">
        <f t="shared" si="110"/>
        <v>0</v>
      </c>
      <c r="H1665" t="e">
        <f t="shared" si="111"/>
        <v>#NUM!</v>
      </c>
    </row>
    <row r="1666" spans="1:8" x14ac:dyDescent="0.2">
      <c r="A1666" s="1">
        <v>42594</v>
      </c>
      <c r="B1666">
        <v>783.21997099999999</v>
      </c>
      <c r="C1666" s="2">
        <f t="shared" si="109"/>
        <v>-2.0768364016615359E-3</v>
      </c>
      <c r="D1666">
        <v>-10.587146791843303</v>
      </c>
      <c r="E1666" s="15">
        <v>0</v>
      </c>
      <c r="F1666">
        <f t="shared" si="112"/>
        <v>3.2470768367545031E-3</v>
      </c>
      <c r="G1666">
        <f t="shared" si="110"/>
        <v>0</v>
      </c>
      <c r="H1666" t="e">
        <f t="shared" si="111"/>
        <v>#NUM!</v>
      </c>
    </row>
    <row r="1667" spans="1:8" x14ac:dyDescent="0.2">
      <c r="A1667" s="1">
        <v>42597</v>
      </c>
      <c r="B1667">
        <v>782.44000200000005</v>
      </c>
      <c r="C1667" s="2">
        <f t="shared" si="109"/>
        <v>-9.958492235637047E-4</v>
      </c>
      <c r="D1667">
        <v>-0.52049702963266953</v>
      </c>
      <c r="E1667" s="15">
        <v>1</v>
      </c>
      <c r="F1667">
        <f t="shared" si="112"/>
        <v>3.2470767767297862E-3</v>
      </c>
      <c r="G1667">
        <f t="shared" si="110"/>
        <v>307.96931171030872</v>
      </c>
      <c r="H1667">
        <f t="shared" si="111"/>
        <v>-4.9770148849374634</v>
      </c>
    </row>
    <row r="1668" spans="1:8" x14ac:dyDescent="0.2">
      <c r="A1668" s="1">
        <v>42598</v>
      </c>
      <c r="B1668">
        <v>777.14001499999995</v>
      </c>
      <c r="C1668" s="2">
        <f t="shared" ref="C1668:C1731" si="113">(B1668-B1667)/B1667</f>
        <v>-6.77366569507281E-3</v>
      </c>
      <c r="D1668">
        <v>5.8018988565687195</v>
      </c>
      <c r="E1668" s="15">
        <v>0</v>
      </c>
      <c r="F1668">
        <f t="shared" si="112"/>
        <v>12314.404706623209</v>
      </c>
      <c r="G1668">
        <f t="shared" si="110"/>
        <v>0</v>
      </c>
      <c r="H1668" t="e">
        <f t="shared" si="111"/>
        <v>#NUM!</v>
      </c>
    </row>
    <row r="1669" spans="1:8" x14ac:dyDescent="0.2">
      <c r="A1669" s="1">
        <v>42599</v>
      </c>
      <c r="B1669">
        <v>779.90997300000004</v>
      </c>
      <c r="C1669" s="2">
        <f t="shared" si="113"/>
        <v>3.5642972264143262E-3</v>
      </c>
      <c r="D1669">
        <v>-1.5261991640666603</v>
      </c>
      <c r="E1669" s="15">
        <v>0</v>
      </c>
      <c r="F1669">
        <f t="shared" si="112"/>
        <v>1055.006887474862</v>
      </c>
      <c r="G1669">
        <f t="shared" si="110"/>
        <v>0</v>
      </c>
      <c r="H1669" t="e">
        <f t="shared" si="111"/>
        <v>#NUM!</v>
      </c>
    </row>
    <row r="1670" spans="1:8" x14ac:dyDescent="0.2">
      <c r="A1670" s="1">
        <v>42600</v>
      </c>
      <c r="B1670">
        <v>777.5</v>
      </c>
      <c r="C1670" s="2">
        <f t="shared" si="113"/>
        <v>-3.0900656273567567E-3</v>
      </c>
      <c r="D1670">
        <v>-1.8669494800985929</v>
      </c>
      <c r="E1670" s="15">
        <v>0</v>
      </c>
      <c r="F1670">
        <f t="shared" si="112"/>
        <v>90.387882083970155</v>
      </c>
      <c r="G1670">
        <f t="shared" si="110"/>
        <v>0</v>
      </c>
      <c r="H1670" t="e">
        <f t="shared" si="111"/>
        <v>#NUM!</v>
      </c>
    </row>
    <row r="1671" spans="1:8" x14ac:dyDescent="0.2">
      <c r="A1671" s="1">
        <v>42601</v>
      </c>
      <c r="B1671">
        <v>775.419983</v>
      </c>
      <c r="C1671" s="2">
        <f t="shared" si="113"/>
        <v>-2.675263022508036E-3</v>
      </c>
      <c r="D1671">
        <v>-0.13423747417414658</v>
      </c>
      <c r="E1671" s="15">
        <v>1</v>
      </c>
      <c r="F1671">
        <f t="shared" si="112"/>
        <v>7.7467106370503762</v>
      </c>
      <c r="G1671">
        <f t="shared" si="110"/>
        <v>0.12908704698704976</v>
      </c>
      <c r="H1671">
        <f t="shared" si="111"/>
        <v>-3599.6049814762309</v>
      </c>
    </row>
    <row r="1672" spans="1:8" x14ac:dyDescent="0.2">
      <c r="A1672" s="1">
        <v>42604</v>
      </c>
      <c r="B1672">
        <v>772.15002400000003</v>
      </c>
      <c r="C1672" s="2">
        <f t="shared" si="113"/>
        <v>-4.2170166770127866E-3</v>
      </c>
      <c r="D1672">
        <v>0.57629984100007103</v>
      </c>
      <c r="E1672" s="15">
        <v>0</v>
      </c>
      <c r="F1672">
        <f t="shared" si="112"/>
        <v>0.6688112863202379</v>
      </c>
      <c r="G1672">
        <f t="shared" ref="G1672:G1735" si="114">E1672/F1672</f>
        <v>0</v>
      </c>
      <c r="H1672" t="e">
        <f t="shared" ref="H1672:H1735" si="115">-LOG(G1672^2)-(F1672^2)/(G1672^2)</f>
        <v>#NUM!</v>
      </c>
    </row>
    <row r="1673" spans="1:8" x14ac:dyDescent="0.2">
      <c r="A1673" s="1">
        <v>42605</v>
      </c>
      <c r="B1673">
        <v>772.080017</v>
      </c>
      <c r="C1673" s="2">
        <f t="shared" si="113"/>
        <v>-9.0665023407462004E-5</v>
      </c>
      <c r="D1673">
        <v>-0.9785001980424497</v>
      </c>
      <c r="E1673" s="15">
        <v>1</v>
      </c>
      <c r="F1673">
        <f t="shared" ref="F1673:F1736" si="116" xml:space="preserve"> $K$5 + $K$6 * G1672 ^ 2 + $K$7 * F1672</f>
        <v>6.0267522815494454E-2</v>
      </c>
      <c r="G1673">
        <f t="shared" si="114"/>
        <v>16.592684638149844</v>
      </c>
      <c r="H1673">
        <f t="shared" si="115"/>
        <v>-2.4398465107555647</v>
      </c>
    </row>
    <row r="1674" spans="1:8" x14ac:dyDescent="0.2">
      <c r="A1674" s="1">
        <v>42606</v>
      </c>
      <c r="B1674">
        <v>769.64001499999995</v>
      </c>
      <c r="C1674" s="2">
        <f t="shared" si="113"/>
        <v>-3.1602967908442182E-3</v>
      </c>
      <c r="D1674">
        <v>33.856846356740874</v>
      </c>
      <c r="E1674" s="15">
        <v>0</v>
      </c>
      <c r="F1674">
        <f t="shared" si="116"/>
        <v>35.754485260226566</v>
      </c>
      <c r="G1674">
        <f t="shared" si="114"/>
        <v>0</v>
      </c>
      <c r="H1674" t="e">
        <f t="shared" si="115"/>
        <v>#NUM!</v>
      </c>
    </row>
    <row r="1675" spans="1:8" x14ac:dyDescent="0.2">
      <c r="A1675" s="1">
        <v>42607</v>
      </c>
      <c r="B1675">
        <v>769.40997300000004</v>
      </c>
      <c r="C1675" s="2">
        <f t="shared" si="113"/>
        <v>-2.9889558172194587E-4</v>
      </c>
      <c r="D1675">
        <v>-0.90542167349981673</v>
      </c>
      <c r="E1675" s="15">
        <v>0</v>
      </c>
      <c r="F1675">
        <f t="shared" si="116"/>
        <v>3.0661394598227418</v>
      </c>
      <c r="G1675">
        <f t="shared" si="114"/>
        <v>0</v>
      </c>
      <c r="H1675" t="e">
        <f t="shared" si="115"/>
        <v>#NUM!</v>
      </c>
    </row>
    <row r="1676" spans="1:8" x14ac:dyDescent="0.2">
      <c r="A1676" s="1">
        <v>42608</v>
      </c>
      <c r="B1676">
        <v>769.53997800000002</v>
      </c>
      <c r="C1676" s="2">
        <f t="shared" si="113"/>
        <v>1.6896713658789918E-4</v>
      </c>
      <c r="D1676">
        <v>-1.565304898836158</v>
      </c>
      <c r="E1676" s="15">
        <v>1</v>
      </c>
      <c r="F1676">
        <f t="shared" si="116"/>
        <v>0.26565224724425301</v>
      </c>
      <c r="G1676">
        <f t="shared" si="114"/>
        <v>3.764319746486291</v>
      </c>
      <c r="H1676">
        <f t="shared" si="115"/>
        <v>-1.1563532942621517</v>
      </c>
    </row>
    <row r="1677" spans="1:8" x14ac:dyDescent="0.2">
      <c r="A1677" s="1">
        <v>42611</v>
      </c>
      <c r="B1677">
        <v>772.15002400000003</v>
      </c>
      <c r="C1677" s="2">
        <f t="shared" si="113"/>
        <v>3.3916964350356482E-3</v>
      </c>
      <c r="D1677">
        <v>19.073113053385018</v>
      </c>
      <c r="E1677" s="15">
        <v>0</v>
      </c>
      <c r="F1677">
        <f t="shared" si="116"/>
        <v>1.8655314177890827</v>
      </c>
      <c r="G1677">
        <f t="shared" si="114"/>
        <v>0</v>
      </c>
      <c r="H1677" t="e">
        <f t="shared" si="115"/>
        <v>#NUM!</v>
      </c>
    </row>
    <row r="1678" spans="1:8" x14ac:dyDescent="0.2">
      <c r="A1678" s="1">
        <v>42612</v>
      </c>
      <c r="B1678">
        <v>769.09002699999996</v>
      </c>
      <c r="C1678" s="2">
        <f t="shared" si="113"/>
        <v>-3.9629565562249681E-3</v>
      </c>
      <c r="D1678">
        <v>-2.1684290242747846</v>
      </c>
      <c r="E1678" s="15">
        <v>0</v>
      </c>
      <c r="F1678">
        <f t="shared" si="116"/>
        <v>0.1627933418238196</v>
      </c>
      <c r="G1678">
        <f t="shared" si="114"/>
        <v>0</v>
      </c>
      <c r="H1678" t="e">
        <f t="shared" si="115"/>
        <v>#NUM!</v>
      </c>
    </row>
    <row r="1679" spans="1:8" x14ac:dyDescent="0.2">
      <c r="A1679" s="1">
        <v>42613</v>
      </c>
      <c r="B1679">
        <v>767.04998799999998</v>
      </c>
      <c r="C1679" s="2">
        <f t="shared" si="113"/>
        <v>-2.6525360209877992E-3</v>
      </c>
      <c r="D1679">
        <v>-0.33066739860642047</v>
      </c>
      <c r="E1679" s="15">
        <v>0</v>
      </c>
      <c r="F1679">
        <f t="shared" si="116"/>
        <v>1.6915779305733722E-2</v>
      </c>
      <c r="G1679">
        <f t="shared" si="114"/>
        <v>0</v>
      </c>
      <c r="H1679" t="e">
        <f t="shared" si="115"/>
        <v>#NUM!</v>
      </c>
    </row>
    <row r="1680" spans="1:8" x14ac:dyDescent="0.2">
      <c r="A1680" s="1">
        <v>42614</v>
      </c>
      <c r="B1680">
        <v>768.78002900000001</v>
      </c>
      <c r="C1680" s="2">
        <f t="shared" si="113"/>
        <v>2.2554475289295337E-3</v>
      </c>
      <c r="D1680">
        <v>-1.8502985486657442</v>
      </c>
      <c r="E1680" s="15">
        <v>1</v>
      </c>
      <c r="F1680">
        <f t="shared" si="116"/>
        <v>4.4181065593516837E-3</v>
      </c>
      <c r="G1680">
        <f t="shared" si="114"/>
        <v>226.34130403290698</v>
      </c>
      <c r="H1680">
        <f t="shared" si="115"/>
        <v>-4.7095276277491429</v>
      </c>
    </row>
    <row r="1681" spans="1:8" x14ac:dyDescent="0.2">
      <c r="A1681" s="1">
        <v>42615</v>
      </c>
      <c r="B1681">
        <v>771.46002199999998</v>
      </c>
      <c r="C1681" s="2">
        <f t="shared" si="113"/>
        <v>3.4860335842568663E-3</v>
      </c>
      <c r="D1681">
        <v>0.5456061555603493</v>
      </c>
      <c r="E1681" s="15">
        <v>1</v>
      </c>
      <c r="F1681">
        <f t="shared" si="116"/>
        <v>6651.602210088573</v>
      </c>
      <c r="G1681">
        <f t="shared" si="114"/>
        <v>1.5033971792289183E-4</v>
      </c>
      <c r="H1681">
        <f t="shared" si="115"/>
        <v>-1957514896862900</v>
      </c>
    </row>
    <row r="1682" spans="1:8" x14ac:dyDescent="0.2">
      <c r="A1682" s="1">
        <v>42619</v>
      </c>
      <c r="B1682">
        <v>780.080017</v>
      </c>
      <c r="C1682" s="2">
        <f t="shared" si="113"/>
        <v>1.1173612052705976E-2</v>
      </c>
      <c r="D1682">
        <v>2.205250833832086</v>
      </c>
      <c r="E1682" s="15">
        <v>0</v>
      </c>
      <c r="F1682">
        <f t="shared" si="116"/>
        <v>569.86132288618364</v>
      </c>
      <c r="G1682">
        <f t="shared" si="114"/>
        <v>0</v>
      </c>
      <c r="H1682" t="e">
        <f t="shared" si="115"/>
        <v>#NUM!</v>
      </c>
    </row>
    <row r="1683" spans="1:8" x14ac:dyDescent="0.2">
      <c r="A1683" s="1">
        <v>42620</v>
      </c>
      <c r="B1683">
        <v>780.34997599999997</v>
      </c>
      <c r="C1683" s="2">
        <f t="shared" si="113"/>
        <v>3.4606578058257276E-4</v>
      </c>
      <c r="D1683">
        <v>-0.9690282981948739</v>
      </c>
      <c r="E1683" s="15">
        <v>0</v>
      </c>
      <c r="F1683">
        <f t="shared" si="116"/>
        <v>48.824324289834841</v>
      </c>
      <c r="G1683">
        <f t="shared" si="114"/>
        <v>0</v>
      </c>
      <c r="H1683" t="e">
        <f t="shared" si="115"/>
        <v>#NUM!</v>
      </c>
    </row>
    <row r="1684" spans="1:8" x14ac:dyDescent="0.2">
      <c r="A1684" s="1">
        <v>42621</v>
      </c>
      <c r="B1684">
        <v>775.32000700000003</v>
      </c>
      <c r="C1684" s="2">
        <f t="shared" si="113"/>
        <v>-6.445786063559689E-3</v>
      </c>
      <c r="D1684">
        <v>-19.625898384719658</v>
      </c>
      <c r="E1684" s="15">
        <v>1</v>
      </c>
      <c r="F1684">
        <f t="shared" si="116"/>
        <v>4.18586320774103</v>
      </c>
      <c r="G1684">
        <f t="shared" si="114"/>
        <v>0.23889935011509048</v>
      </c>
      <c r="H1684">
        <f t="shared" si="115"/>
        <v>-305.75766786041555</v>
      </c>
    </row>
    <row r="1685" spans="1:8" x14ac:dyDescent="0.2">
      <c r="A1685" s="1">
        <v>42622</v>
      </c>
      <c r="B1685">
        <v>759.65997300000004</v>
      </c>
      <c r="C1685" s="2">
        <f t="shared" si="113"/>
        <v>-2.0198155417908616E-2</v>
      </c>
      <c r="D1685">
        <v>2.1335441820037966</v>
      </c>
      <c r="E1685" s="15">
        <v>0</v>
      </c>
      <c r="F1685">
        <f t="shared" si="116"/>
        <v>0.36899177879100742</v>
      </c>
      <c r="G1685">
        <f t="shared" si="114"/>
        <v>0</v>
      </c>
      <c r="H1685" t="e">
        <f t="shared" si="115"/>
        <v>#NUM!</v>
      </c>
    </row>
    <row r="1686" spans="1:8" x14ac:dyDescent="0.2">
      <c r="A1686" s="1">
        <v>42625</v>
      </c>
      <c r="B1686">
        <v>769.02002000000005</v>
      </c>
      <c r="C1686" s="2">
        <f t="shared" si="113"/>
        <v>1.232136394265439E-2</v>
      </c>
      <c r="D1686">
        <v>-1.6100242169505092</v>
      </c>
      <c r="E1686" s="15">
        <v>0</v>
      </c>
      <c r="F1686">
        <f t="shared" si="116"/>
        <v>3.4581282770064649E-2</v>
      </c>
      <c r="G1686">
        <f t="shared" si="114"/>
        <v>0</v>
      </c>
      <c r="H1686" t="e">
        <f t="shared" si="115"/>
        <v>#NUM!</v>
      </c>
    </row>
    <row r="1687" spans="1:8" x14ac:dyDescent="0.2">
      <c r="A1687" s="1">
        <v>42626</v>
      </c>
      <c r="B1687">
        <v>759.69000200000005</v>
      </c>
      <c r="C1687" s="2">
        <f t="shared" si="113"/>
        <v>-1.213234734773224E-2</v>
      </c>
      <c r="D1687">
        <v>-1.9846594422661432</v>
      </c>
      <c r="E1687" s="15">
        <v>0</v>
      </c>
      <c r="F1687">
        <f t="shared" si="116"/>
        <v>5.9315516525264081E-3</v>
      </c>
      <c r="G1687">
        <f t="shared" si="114"/>
        <v>0</v>
      </c>
      <c r="H1687" t="e">
        <f t="shared" si="115"/>
        <v>#NUM!</v>
      </c>
    </row>
    <row r="1688" spans="1:8" x14ac:dyDescent="0.2">
      <c r="A1688" s="1">
        <v>42627</v>
      </c>
      <c r="B1688">
        <v>762.48999000000003</v>
      </c>
      <c r="C1688" s="2">
        <f t="shared" si="113"/>
        <v>3.6856981040010906E-3</v>
      </c>
      <c r="D1688">
        <v>-1.3037910140851692</v>
      </c>
      <c r="E1688" s="15">
        <v>1</v>
      </c>
      <c r="F1688">
        <f t="shared" si="116"/>
        <v>3.4770620271294969E-3</v>
      </c>
      <c r="G1688">
        <f t="shared" si="114"/>
        <v>287.59912598555343</v>
      </c>
      <c r="H1688">
        <f t="shared" si="115"/>
        <v>-4.9175751239278851</v>
      </c>
    </row>
    <row r="1689" spans="1:8" x14ac:dyDescent="0.2">
      <c r="A1689" s="1">
        <v>42628</v>
      </c>
      <c r="B1689">
        <v>771.76000999999997</v>
      </c>
      <c r="C1689" s="2">
        <f t="shared" si="113"/>
        <v>1.2157562881579509E-2</v>
      </c>
      <c r="D1689">
        <v>2.2985780545567742</v>
      </c>
      <c r="E1689" s="15">
        <v>0</v>
      </c>
      <c r="F1689">
        <f t="shared" si="116"/>
        <v>10739.243235088225</v>
      </c>
      <c r="G1689">
        <f t="shared" si="114"/>
        <v>0</v>
      </c>
      <c r="H1689" t="e">
        <f t="shared" si="115"/>
        <v>#NUM!</v>
      </c>
    </row>
    <row r="1690" spans="1:8" x14ac:dyDescent="0.2">
      <c r="A1690" s="1">
        <v>42629</v>
      </c>
      <c r="B1690">
        <v>768.88000499999998</v>
      </c>
      <c r="C1690" s="2">
        <f t="shared" si="113"/>
        <v>-3.7317365018692573E-3</v>
      </c>
      <c r="D1690">
        <v>-1.3069477442328006</v>
      </c>
      <c r="E1690" s="15">
        <v>1</v>
      </c>
      <c r="F1690">
        <f t="shared" si="116"/>
        <v>920.05911172276058</v>
      </c>
      <c r="G1690">
        <f t="shared" si="114"/>
        <v>1.0868866872342088E-3</v>
      </c>
      <c r="H1690">
        <f t="shared" si="115"/>
        <v>-716577096096.44812</v>
      </c>
    </row>
    <row r="1691" spans="1:8" x14ac:dyDescent="0.2">
      <c r="A1691" s="1">
        <v>42632</v>
      </c>
      <c r="B1691">
        <v>765.70001200000002</v>
      </c>
      <c r="C1691" s="2">
        <f t="shared" si="113"/>
        <v>-4.1358768329525846E-3</v>
      </c>
      <c r="D1691">
        <v>0.10829819599558814</v>
      </c>
      <c r="E1691" s="15">
        <v>0</v>
      </c>
      <c r="F1691">
        <f t="shared" si="116"/>
        <v>78.826589944761253</v>
      </c>
      <c r="G1691">
        <f t="shared" si="114"/>
        <v>0</v>
      </c>
      <c r="H1691" t="e">
        <f t="shared" si="115"/>
        <v>#NUM!</v>
      </c>
    </row>
    <row r="1692" spans="1:8" x14ac:dyDescent="0.2">
      <c r="A1692" s="1">
        <v>42633</v>
      </c>
      <c r="B1692">
        <v>771.40997300000004</v>
      </c>
      <c r="C1692" s="2">
        <f t="shared" si="113"/>
        <v>7.4571776289850981E-3</v>
      </c>
      <c r="D1692">
        <v>-2.8030463503095788</v>
      </c>
      <c r="E1692" s="15">
        <v>0</v>
      </c>
      <c r="F1692">
        <f t="shared" si="116"/>
        <v>6.7562276375607313</v>
      </c>
      <c r="G1692">
        <f t="shared" si="114"/>
        <v>0</v>
      </c>
      <c r="H1692" t="e">
        <f t="shared" si="115"/>
        <v>#NUM!</v>
      </c>
    </row>
    <row r="1693" spans="1:8" x14ac:dyDescent="0.2">
      <c r="A1693" s="1">
        <v>42634</v>
      </c>
      <c r="B1693">
        <v>776.21997099999999</v>
      </c>
      <c r="C1693" s="2">
        <f t="shared" si="113"/>
        <v>6.2353329206957893E-3</v>
      </c>
      <c r="D1693">
        <v>-0.16384814323587443</v>
      </c>
      <c r="E1693" s="15">
        <v>1</v>
      </c>
      <c r="F1693">
        <f t="shared" si="116"/>
        <v>0.58179075171744765</v>
      </c>
      <c r="G1693">
        <f t="shared" si="114"/>
        <v>1.7188310351238787</v>
      </c>
      <c r="H1693">
        <f t="shared" si="115"/>
        <v>-0.58503540788034247</v>
      </c>
    </row>
    <row r="1694" spans="1:8" x14ac:dyDescent="0.2">
      <c r="A1694" s="1">
        <v>42635</v>
      </c>
      <c r="B1694">
        <v>787.21002199999998</v>
      </c>
      <c r="C1694" s="2">
        <f t="shared" si="113"/>
        <v>1.4158423398771318E-2</v>
      </c>
      <c r="D1694">
        <v>1.2706764143704143</v>
      </c>
      <c r="E1694" s="15">
        <v>0</v>
      </c>
      <c r="F1694">
        <f t="shared" si="116"/>
        <v>0.4364000787943606</v>
      </c>
      <c r="G1694">
        <f t="shared" si="114"/>
        <v>0</v>
      </c>
      <c r="H1694" t="e">
        <f t="shared" si="115"/>
        <v>#NUM!</v>
      </c>
    </row>
    <row r="1695" spans="1:8" x14ac:dyDescent="0.2">
      <c r="A1695" s="1">
        <v>42636</v>
      </c>
      <c r="B1695">
        <v>786.90002400000003</v>
      </c>
      <c r="C1695" s="2">
        <f t="shared" si="113"/>
        <v>-3.9379325889724319E-4</v>
      </c>
      <c r="D1695">
        <v>-1.0278133551883621</v>
      </c>
      <c r="E1695" s="15">
        <v>1</v>
      </c>
      <c r="F1695">
        <f t="shared" si="116"/>
        <v>4.0356309849554031E-2</v>
      </c>
      <c r="G1695">
        <f t="shared" si="114"/>
        <v>24.779272528334271</v>
      </c>
      <c r="H1695">
        <f t="shared" si="115"/>
        <v>-2.7881797567984652</v>
      </c>
    </row>
    <row r="1696" spans="1:8" x14ac:dyDescent="0.2">
      <c r="A1696" s="1">
        <v>42639</v>
      </c>
      <c r="B1696">
        <v>774.21002199999998</v>
      </c>
      <c r="C1696" s="2">
        <f t="shared" si="113"/>
        <v>-1.6126574676531016E-2</v>
      </c>
      <c r="D1696">
        <v>39.951880998905317</v>
      </c>
      <c r="E1696" s="15">
        <v>0</v>
      </c>
      <c r="F1696">
        <f t="shared" si="116"/>
        <v>79.727938390030801</v>
      </c>
      <c r="G1696">
        <f t="shared" si="114"/>
        <v>0</v>
      </c>
      <c r="H1696" t="e">
        <f t="shared" si="115"/>
        <v>#NUM!</v>
      </c>
    </row>
    <row r="1697" spans="1:8" x14ac:dyDescent="0.2">
      <c r="A1697" s="1">
        <v>42640</v>
      </c>
      <c r="B1697">
        <v>783.01000999999997</v>
      </c>
      <c r="C1697" s="2">
        <f t="shared" si="113"/>
        <v>1.1366409307473398E-2</v>
      </c>
      <c r="D1697">
        <v>-1.7048247712525662</v>
      </c>
      <c r="E1697" s="15">
        <v>0</v>
      </c>
      <c r="F1697">
        <f t="shared" si="116"/>
        <v>6.8334482718035225</v>
      </c>
      <c r="G1697">
        <f t="shared" si="114"/>
        <v>0</v>
      </c>
      <c r="H1697" t="e">
        <f t="shared" si="115"/>
        <v>#NUM!</v>
      </c>
    </row>
    <row r="1698" spans="1:8" x14ac:dyDescent="0.2">
      <c r="A1698" s="1">
        <v>42641</v>
      </c>
      <c r="B1698">
        <v>781.55999799999995</v>
      </c>
      <c r="C1698" s="2">
        <f t="shared" si="113"/>
        <v>-1.8518435032522959E-3</v>
      </c>
      <c r="D1698">
        <v>-1.1629224720980891</v>
      </c>
      <c r="E1698" s="15">
        <v>1</v>
      </c>
      <c r="F1698">
        <f t="shared" si="116"/>
        <v>0.58840642447325486</v>
      </c>
      <c r="G1698">
        <f t="shared" si="114"/>
        <v>1.6995055771105938</v>
      </c>
      <c r="H1698">
        <f t="shared" si="115"/>
        <v>-0.58051494483861243</v>
      </c>
    </row>
    <row r="1699" spans="1:8" x14ac:dyDescent="0.2">
      <c r="A1699" s="1">
        <v>42642</v>
      </c>
      <c r="B1699">
        <v>775.01000999999997</v>
      </c>
      <c r="C1699" s="2">
        <f t="shared" si="113"/>
        <v>-8.3806592158776078E-3</v>
      </c>
      <c r="D1699">
        <v>3.52557637897538</v>
      </c>
      <c r="E1699" s="15">
        <v>0</v>
      </c>
      <c r="F1699">
        <f t="shared" si="116"/>
        <v>0.4283897082009262</v>
      </c>
      <c r="G1699">
        <f t="shared" si="114"/>
        <v>0</v>
      </c>
      <c r="H1699" t="e">
        <f t="shared" si="115"/>
        <v>#NUM!</v>
      </c>
    </row>
    <row r="1700" spans="1:8" x14ac:dyDescent="0.2">
      <c r="A1700" s="1">
        <v>42643</v>
      </c>
      <c r="B1700">
        <v>777.28997800000002</v>
      </c>
      <c r="C1700" s="2">
        <f t="shared" si="113"/>
        <v>2.9418561961542323E-3</v>
      </c>
      <c r="D1700">
        <v>-1.3510292114707072</v>
      </c>
      <c r="E1700" s="15">
        <v>0</v>
      </c>
      <c r="F1700">
        <f t="shared" si="116"/>
        <v>3.967004262294354E-2</v>
      </c>
      <c r="G1700">
        <f t="shared" si="114"/>
        <v>0</v>
      </c>
      <c r="H1700" t="e">
        <f t="shared" si="115"/>
        <v>#NUM!</v>
      </c>
    </row>
    <row r="1701" spans="1:8" x14ac:dyDescent="0.2">
      <c r="A1701" s="1">
        <v>42646</v>
      </c>
      <c r="B1701">
        <v>772.55999799999995</v>
      </c>
      <c r="C1701" s="2">
        <f t="shared" si="113"/>
        <v>-6.0852193311053708E-3</v>
      </c>
      <c r="D1701">
        <v>-3.0684965291846447</v>
      </c>
      <c r="E1701" s="15">
        <v>0</v>
      </c>
      <c r="F1701">
        <f t="shared" si="116"/>
        <v>6.3675176381681187E-3</v>
      </c>
      <c r="G1701">
        <f t="shared" si="114"/>
        <v>0</v>
      </c>
      <c r="H1701" t="e">
        <f t="shared" si="115"/>
        <v>#NUM!</v>
      </c>
    </row>
    <row r="1702" spans="1:8" x14ac:dyDescent="0.2">
      <c r="A1702" s="1">
        <v>42647</v>
      </c>
      <c r="B1702">
        <v>776.42999299999997</v>
      </c>
      <c r="C1702" s="2">
        <f t="shared" si="113"/>
        <v>5.0093132054709584E-3</v>
      </c>
      <c r="D1702">
        <v>-1.8231935338575584</v>
      </c>
      <c r="E1702" s="15">
        <v>0</v>
      </c>
      <c r="F1702">
        <f t="shared" si="116"/>
        <v>3.5144122551087208E-3</v>
      </c>
      <c r="G1702">
        <f t="shared" si="114"/>
        <v>0</v>
      </c>
      <c r="H1702" t="e">
        <f t="shared" si="115"/>
        <v>#NUM!</v>
      </c>
    </row>
    <row r="1703" spans="1:8" x14ac:dyDescent="0.2">
      <c r="A1703" s="1">
        <v>42648</v>
      </c>
      <c r="B1703">
        <v>776.46997099999999</v>
      </c>
      <c r="C1703" s="2">
        <f t="shared" si="113"/>
        <v>5.1489510143149723E-5</v>
      </c>
      <c r="D1703">
        <v>-0.98972124360542779</v>
      </c>
      <c r="E1703" s="15">
        <v>1</v>
      </c>
      <c r="F1703">
        <f t="shared" si="116"/>
        <v>3.2699800287065519E-3</v>
      </c>
      <c r="G1703">
        <f t="shared" si="114"/>
        <v>305.81226528027213</v>
      </c>
      <c r="H1703">
        <f t="shared" si="115"/>
        <v>-4.9709097996555531</v>
      </c>
    </row>
    <row r="1704" spans="1:8" x14ac:dyDescent="0.2">
      <c r="A1704" s="1">
        <v>42649</v>
      </c>
      <c r="B1704">
        <v>776.85998500000005</v>
      </c>
      <c r="C1704" s="2">
        <f t="shared" si="113"/>
        <v>5.022911568592582E-4</v>
      </c>
      <c r="D1704">
        <v>8.7552133524440627</v>
      </c>
      <c r="E1704" s="15">
        <v>0</v>
      </c>
      <c r="F1704">
        <f t="shared" si="116"/>
        <v>12142.506336034729</v>
      </c>
      <c r="G1704">
        <f t="shared" si="114"/>
        <v>0</v>
      </c>
      <c r="H1704" t="e">
        <f t="shared" si="115"/>
        <v>#NUM!</v>
      </c>
    </row>
    <row r="1705" spans="1:8" x14ac:dyDescent="0.2">
      <c r="A1705" s="1">
        <v>42650</v>
      </c>
      <c r="B1705">
        <v>775.080017</v>
      </c>
      <c r="C1705" s="2">
        <f t="shared" si="113"/>
        <v>-2.2912339860059255E-3</v>
      </c>
      <c r="D1705">
        <v>-5.5615654480811978</v>
      </c>
      <c r="E1705" s="15">
        <v>0</v>
      </c>
      <c r="F1705">
        <f t="shared" si="116"/>
        <v>1040.2799511032401</v>
      </c>
      <c r="G1705">
        <f t="shared" si="114"/>
        <v>0</v>
      </c>
      <c r="H1705" t="e">
        <f t="shared" si="115"/>
        <v>#NUM!</v>
      </c>
    </row>
    <row r="1706" spans="1:8" x14ac:dyDescent="0.2">
      <c r="A1706" s="1">
        <v>42653</v>
      </c>
      <c r="B1706">
        <v>785.94000200000005</v>
      </c>
      <c r="C1706" s="2">
        <f t="shared" si="113"/>
        <v>1.4011437221713396E-2</v>
      </c>
      <c r="D1706">
        <v>-7.1152362907020708</v>
      </c>
      <c r="E1706" s="15">
        <v>0</v>
      </c>
      <c r="F1706">
        <f t="shared" si="116"/>
        <v>89.126190922202213</v>
      </c>
      <c r="G1706">
        <f t="shared" si="114"/>
        <v>0</v>
      </c>
      <c r="H1706" t="e">
        <f t="shared" si="115"/>
        <v>#NUM!</v>
      </c>
    </row>
    <row r="1707" spans="1:8" x14ac:dyDescent="0.2">
      <c r="A1707" s="1">
        <v>42654</v>
      </c>
      <c r="B1707">
        <v>783.07000700000003</v>
      </c>
      <c r="C1707" s="2">
        <f t="shared" si="113"/>
        <v>-3.6516718740574002E-3</v>
      </c>
      <c r="D1707">
        <v>-1.2606207925906729</v>
      </c>
      <c r="E1707" s="15">
        <v>0</v>
      </c>
      <c r="F1707">
        <f t="shared" si="116"/>
        <v>7.6386185975715613</v>
      </c>
      <c r="G1707">
        <f t="shared" si="114"/>
        <v>0</v>
      </c>
      <c r="H1707" t="e">
        <f t="shared" si="115"/>
        <v>#NUM!</v>
      </c>
    </row>
    <row r="1708" spans="1:8" x14ac:dyDescent="0.2">
      <c r="A1708" s="1">
        <v>42655</v>
      </c>
      <c r="B1708">
        <v>786.14001499999995</v>
      </c>
      <c r="C1708" s="2">
        <f t="shared" si="113"/>
        <v>3.9204770615099242E-3</v>
      </c>
      <c r="D1708">
        <v>-2.0736115392410253</v>
      </c>
      <c r="E1708" s="15">
        <v>0</v>
      </c>
      <c r="F1708">
        <f t="shared" si="116"/>
        <v>0.65738725375808194</v>
      </c>
      <c r="G1708">
        <f t="shared" si="114"/>
        <v>0</v>
      </c>
      <c r="H1708" t="e">
        <f t="shared" si="115"/>
        <v>#NUM!</v>
      </c>
    </row>
    <row r="1709" spans="1:8" x14ac:dyDescent="0.2">
      <c r="A1709" s="1">
        <v>42656</v>
      </c>
      <c r="B1709">
        <v>778.19000200000005</v>
      </c>
      <c r="C1709" s="2">
        <f t="shared" si="113"/>
        <v>-1.011271891559915E-2</v>
      </c>
      <c r="D1709">
        <v>-3.5794613147677388</v>
      </c>
      <c r="E1709" s="15">
        <v>0</v>
      </c>
      <c r="F1709">
        <f t="shared" si="116"/>
        <v>5.9288799165734152E-2</v>
      </c>
      <c r="G1709">
        <f t="shared" si="114"/>
        <v>0</v>
      </c>
      <c r="H1709" t="e">
        <f t="shared" si="115"/>
        <v>#NUM!</v>
      </c>
    </row>
    <row r="1710" spans="1:8" x14ac:dyDescent="0.2">
      <c r="A1710" s="1">
        <v>42657</v>
      </c>
      <c r="B1710">
        <v>778.53002900000001</v>
      </c>
      <c r="C1710" s="2">
        <f t="shared" si="113"/>
        <v>4.3694598893081592E-4</v>
      </c>
      <c r="D1710">
        <v>-1.0432075678734445</v>
      </c>
      <c r="E1710" s="15">
        <v>1</v>
      </c>
      <c r="F1710">
        <f t="shared" si="116"/>
        <v>8.048302501380649E-3</v>
      </c>
      <c r="G1710">
        <f t="shared" si="114"/>
        <v>124.24980296509166</v>
      </c>
      <c r="H1710">
        <f t="shared" si="115"/>
        <v>-4.1885914216022764</v>
      </c>
    </row>
    <row r="1711" spans="1:8" x14ac:dyDescent="0.2">
      <c r="A1711" s="1">
        <v>42660</v>
      </c>
      <c r="B1711">
        <v>779.96002199999998</v>
      </c>
      <c r="C1711" s="2">
        <f t="shared" si="113"/>
        <v>1.836785925697373E-3</v>
      </c>
      <c r="D1711">
        <v>3.2036910103967138</v>
      </c>
      <c r="E1711" s="15">
        <v>1</v>
      </c>
      <c r="F1711">
        <f t="shared" si="116"/>
        <v>2004.4287951181259</v>
      </c>
      <c r="G1711">
        <f t="shared" si="114"/>
        <v>4.988952475815274E-4</v>
      </c>
      <c r="H1711">
        <f t="shared" si="115"/>
        <v>-16142192880526.014</v>
      </c>
    </row>
    <row r="1712" spans="1:8" x14ac:dyDescent="0.2">
      <c r="A1712" s="1">
        <v>42661</v>
      </c>
      <c r="B1712">
        <v>795.26000999999997</v>
      </c>
      <c r="C1712" s="2">
        <f t="shared" si="113"/>
        <v>1.9616374645417385E-2</v>
      </c>
      <c r="D1712">
        <v>9.6797283074616498</v>
      </c>
      <c r="E1712" s="15">
        <v>0</v>
      </c>
      <c r="F1712">
        <f t="shared" si="116"/>
        <v>171.72708257420558</v>
      </c>
      <c r="G1712">
        <f t="shared" si="114"/>
        <v>0</v>
      </c>
      <c r="H1712" t="e">
        <f t="shared" si="115"/>
        <v>#NUM!</v>
      </c>
    </row>
    <row r="1713" spans="1:8" x14ac:dyDescent="0.2">
      <c r="A1713" s="1">
        <v>42662</v>
      </c>
      <c r="B1713">
        <v>801.5</v>
      </c>
      <c r="C1713" s="2">
        <f t="shared" si="113"/>
        <v>7.8464777827820555E-3</v>
      </c>
      <c r="D1713">
        <v>-0.60000367424594003</v>
      </c>
      <c r="E1713" s="15">
        <v>0</v>
      </c>
      <c r="F1713">
        <f t="shared" si="116"/>
        <v>14.715230617998701</v>
      </c>
      <c r="G1713">
        <f t="shared" si="114"/>
        <v>0</v>
      </c>
      <c r="H1713" t="e">
        <f t="shared" si="115"/>
        <v>#NUM!</v>
      </c>
    </row>
    <row r="1714" spans="1:8" x14ac:dyDescent="0.2">
      <c r="A1714" s="1">
        <v>42663</v>
      </c>
      <c r="B1714">
        <v>796.96997099999999</v>
      </c>
      <c r="C1714" s="2">
        <f t="shared" si="113"/>
        <v>-5.6519388646288377E-3</v>
      </c>
      <c r="D1714">
        <v>-1.7203154104420189</v>
      </c>
      <c r="E1714" s="15">
        <v>0</v>
      </c>
      <c r="F1714">
        <f t="shared" si="116"/>
        <v>1.2636571945068305</v>
      </c>
      <c r="G1714">
        <f t="shared" si="114"/>
        <v>0</v>
      </c>
      <c r="H1714" t="e">
        <f t="shared" si="115"/>
        <v>#NUM!</v>
      </c>
    </row>
    <row r="1715" spans="1:8" x14ac:dyDescent="0.2">
      <c r="A1715" s="1">
        <v>42664</v>
      </c>
      <c r="B1715">
        <v>799.36999500000002</v>
      </c>
      <c r="C1715" s="2">
        <f t="shared" si="113"/>
        <v>3.0114359227218996E-3</v>
      </c>
      <c r="D1715">
        <v>-1.5328146667629712</v>
      </c>
      <c r="E1715" s="15">
        <v>1</v>
      </c>
      <c r="F1715">
        <f t="shared" si="116"/>
        <v>0.11122936620466377</v>
      </c>
      <c r="G1715">
        <f t="shared" si="114"/>
        <v>8.9904315211145267</v>
      </c>
      <c r="H1715">
        <f t="shared" si="115"/>
        <v>-1.9077141405326652</v>
      </c>
    </row>
    <row r="1716" spans="1:8" x14ac:dyDescent="0.2">
      <c r="A1716" s="1">
        <v>42667</v>
      </c>
      <c r="B1716">
        <v>813.10998500000005</v>
      </c>
      <c r="C1716" s="2">
        <f t="shared" si="113"/>
        <v>1.7188523569739485E-2</v>
      </c>
      <c r="D1716">
        <v>4.7077500603776965</v>
      </c>
      <c r="E1716" s="15">
        <v>0</v>
      </c>
      <c r="F1716">
        <f t="shared" si="116"/>
        <v>10.506943705447767</v>
      </c>
      <c r="G1716">
        <f t="shared" si="114"/>
        <v>0</v>
      </c>
      <c r="H1716" t="e">
        <f t="shared" si="115"/>
        <v>#NUM!</v>
      </c>
    </row>
    <row r="1717" spans="1:8" x14ac:dyDescent="0.2">
      <c r="A1717" s="1">
        <v>42668</v>
      </c>
      <c r="B1717">
        <v>807.669983</v>
      </c>
      <c r="C1717" s="2">
        <f t="shared" si="113"/>
        <v>-6.6903642807928983E-3</v>
      </c>
      <c r="D1717">
        <v>-1.3892343780225156</v>
      </c>
      <c r="E1717" s="15">
        <v>1</v>
      </c>
      <c r="F1717">
        <f t="shared" si="116"/>
        <v>0.90312338966331007</v>
      </c>
      <c r="G1717">
        <f t="shared" si="114"/>
        <v>1.1072684103252006</v>
      </c>
      <c r="H1717">
        <f t="shared" si="115"/>
        <v>-0.75376114596759347</v>
      </c>
    </row>
    <row r="1718" spans="1:8" x14ac:dyDescent="0.2">
      <c r="A1718" s="1">
        <v>42669</v>
      </c>
      <c r="B1718">
        <v>799.07000700000003</v>
      </c>
      <c r="C1718" s="2">
        <f t="shared" si="113"/>
        <v>-1.0647883641851241E-2</v>
      </c>
      <c r="D1718">
        <v>0.59152524361339009</v>
      </c>
      <c r="E1718" s="15">
        <v>0</v>
      </c>
      <c r="F1718">
        <f t="shared" si="116"/>
        <v>0.23952736012659104</v>
      </c>
      <c r="G1718">
        <f t="shared" si="114"/>
        <v>0</v>
      </c>
      <c r="H1718" t="e">
        <f t="shared" si="115"/>
        <v>#NUM!</v>
      </c>
    </row>
    <row r="1719" spans="1:8" x14ac:dyDescent="0.2">
      <c r="A1719" s="1">
        <v>42670</v>
      </c>
      <c r="B1719">
        <v>795.34997599999997</v>
      </c>
      <c r="C1719" s="2">
        <f t="shared" si="113"/>
        <v>-4.6554506706695383E-3</v>
      </c>
      <c r="D1719">
        <v>-0.56278159799085281</v>
      </c>
      <c r="E1719" s="15">
        <v>0</v>
      </c>
      <c r="F1719">
        <f t="shared" si="116"/>
        <v>2.3489762533236789E-2</v>
      </c>
      <c r="G1719">
        <f t="shared" si="114"/>
        <v>0</v>
      </c>
      <c r="H1719" t="e">
        <f t="shared" si="115"/>
        <v>#NUM!</v>
      </c>
    </row>
    <row r="1720" spans="1:8" x14ac:dyDescent="0.2">
      <c r="A1720" s="1">
        <v>42671</v>
      </c>
      <c r="B1720">
        <v>795.36999500000002</v>
      </c>
      <c r="C1720" s="2">
        <f t="shared" si="113"/>
        <v>2.5170051680554182E-5</v>
      </c>
      <c r="D1720">
        <v>-1.0054065768195402</v>
      </c>
      <c r="E1720" s="15">
        <v>0</v>
      </c>
      <c r="F1720">
        <f t="shared" si="116"/>
        <v>4.9813151131507067E-3</v>
      </c>
      <c r="G1720">
        <f t="shared" si="114"/>
        <v>0</v>
      </c>
      <c r="H1720" t="e">
        <f t="shared" si="115"/>
        <v>#NUM!</v>
      </c>
    </row>
    <row r="1721" spans="1:8" x14ac:dyDescent="0.2">
      <c r="A1721" s="1">
        <v>42674</v>
      </c>
      <c r="B1721">
        <v>784.53997800000002</v>
      </c>
      <c r="C1721" s="2">
        <f t="shared" si="113"/>
        <v>-1.3616325820789855E-2</v>
      </c>
      <c r="D1721">
        <v>-541.97329610608324</v>
      </c>
      <c r="E1721" s="15">
        <v>0</v>
      </c>
      <c r="F1721">
        <f t="shared" si="116"/>
        <v>3.3956530352614038E-3</v>
      </c>
      <c r="G1721">
        <f t="shared" si="114"/>
        <v>0</v>
      </c>
      <c r="H1721" t="e">
        <f t="shared" si="115"/>
        <v>#NUM!</v>
      </c>
    </row>
    <row r="1722" spans="1:8" x14ac:dyDescent="0.2">
      <c r="A1722" s="1">
        <v>42675</v>
      </c>
      <c r="B1722">
        <v>783.60998500000005</v>
      </c>
      <c r="C1722" s="2">
        <f t="shared" si="113"/>
        <v>-1.1853991206041098E-3</v>
      </c>
      <c r="D1722">
        <v>-0.91294280584897558</v>
      </c>
      <c r="E1722" s="15">
        <v>1</v>
      </c>
      <c r="F1722">
        <f t="shared" si="116"/>
        <v>3.2598056479474589E-3</v>
      </c>
      <c r="G1722">
        <f t="shared" si="114"/>
        <v>306.76675483081374</v>
      </c>
      <c r="H1722">
        <f t="shared" si="115"/>
        <v>-4.9736165843574645</v>
      </c>
    </row>
    <row r="1723" spans="1:8" x14ac:dyDescent="0.2">
      <c r="A1723" s="1">
        <v>42676</v>
      </c>
      <c r="B1723">
        <v>768.70001200000002</v>
      </c>
      <c r="C1723" s="2">
        <f t="shared" si="113"/>
        <v>-1.9027288173210345E-2</v>
      </c>
      <c r="D1723">
        <v>15.051376994031809</v>
      </c>
      <c r="E1723" s="15">
        <v>0</v>
      </c>
      <c r="F1723">
        <f t="shared" si="116"/>
        <v>12218.422055990746</v>
      </c>
      <c r="G1723">
        <f t="shared" si="114"/>
        <v>0</v>
      </c>
      <c r="H1723" t="e">
        <f t="shared" si="115"/>
        <v>#NUM!</v>
      </c>
    </row>
    <row r="1724" spans="1:8" x14ac:dyDescent="0.2">
      <c r="A1724" s="1">
        <v>42677</v>
      </c>
      <c r="B1724">
        <v>762.13000499999998</v>
      </c>
      <c r="C1724" s="2">
        <f t="shared" si="113"/>
        <v>-8.5469063320374097E-3</v>
      </c>
      <c r="D1724">
        <v>-0.55080796305639024</v>
      </c>
      <c r="E1724" s="15">
        <v>0</v>
      </c>
      <c r="F1724">
        <f t="shared" si="116"/>
        <v>1046.7838287931261</v>
      </c>
      <c r="G1724">
        <f t="shared" si="114"/>
        <v>0</v>
      </c>
      <c r="H1724" t="e">
        <f t="shared" si="115"/>
        <v>#NUM!</v>
      </c>
    </row>
    <row r="1725" spans="1:8" x14ac:dyDescent="0.2">
      <c r="A1725" s="1">
        <v>42678</v>
      </c>
      <c r="B1725">
        <v>762.02002000000005</v>
      </c>
      <c r="C1725" s="2">
        <f t="shared" si="113"/>
        <v>-1.4431264912596878E-4</v>
      </c>
      <c r="D1725">
        <v>-0.98311521812459512</v>
      </c>
      <c r="E1725" s="15">
        <v>0</v>
      </c>
      <c r="F1725">
        <f t="shared" si="116"/>
        <v>89.683393370252517</v>
      </c>
      <c r="G1725">
        <f t="shared" si="114"/>
        <v>0</v>
      </c>
      <c r="H1725" t="e">
        <f t="shared" si="115"/>
        <v>#NUM!</v>
      </c>
    </row>
    <row r="1726" spans="1:8" x14ac:dyDescent="0.2">
      <c r="A1726" s="1">
        <v>42681</v>
      </c>
      <c r="B1726">
        <v>782.52002000000005</v>
      </c>
      <c r="C1726" s="2">
        <f t="shared" si="113"/>
        <v>2.6902180339041484E-2</v>
      </c>
      <c r="D1726">
        <v>-187.41595523313339</v>
      </c>
      <c r="E1726" s="15">
        <v>0</v>
      </c>
      <c r="F1726">
        <f t="shared" si="116"/>
        <v>7.6863554374872418</v>
      </c>
      <c r="G1726">
        <f t="shared" si="114"/>
        <v>0</v>
      </c>
      <c r="H1726" t="e">
        <f t="shared" si="115"/>
        <v>#NUM!</v>
      </c>
    </row>
    <row r="1727" spans="1:8" x14ac:dyDescent="0.2">
      <c r="A1727" s="1">
        <v>42682</v>
      </c>
      <c r="B1727">
        <v>790.51000999999997</v>
      </c>
      <c r="C1727" s="2">
        <f t="shared" si="113"/>
        <v>1.0210588605771287E-2</v>
      </c>
      <c r="D1727">
        <v>-0.6204549788496776</v>
      </c>
      <c r="E1727" s="15">
        <v>0</v>
      </c>
      <c r="F1727">
        <f t="shared" si="116"/>
        <v>0.66147698073812133</v>
      </c>
      <c r="G1727">
        <f t="shared" si="114"/>
        <v>0</v>
      </c>
      <c r="H1727" t="e">
        <f t="shared" si="115"/>
        <v>#NUM!</v>
      </c>
    </row>
    <row r="1728" spans="1:8" x14ac:dyDescent="0.2">
      <c r="A1728" s="1">
        <v>42683</v>
      </c>
      <c r="B1728">
        <v>785.30999799999995</v>
      </c>
      <c r="C1728" s="2">
        <f t="shared" si="113"/>
        <v>-6.5780470003156764E-3</v>
      </c>
      <c r="D1728">
        <v>-1.6442377863111237</v>
      </c>
      <c r="E1728" s="15">
        <v>1</v>
      </c>
      <c r="F1728">
        <f t="shared" si="116"/>
        <v>5.9639175663231805E-2</v>
      </c>
      <c r="G1728">
        <f t="shared" si="114"/>
        <v>16.767502046754661</v>
      </c>
      <c r="H1728">
        <f t="shared" si="115"/>
        <v>-2.4489493870999364</v>
      </c>
    </row>
    <row r="1729" spans="1:8" x14ac:dyDescent="0.2">
      <c r="A1729" s="1">
        <v>42684</v>
      </c>
      <c r="B1729">
        <v>762.55999799999995</v>
      </c>
      <c r="C1729" s="2">
        <f t="shared" si="113"/>
        <v>-2.8969451627941709E-2</v>
      </c>
      <c r="D1729">
        <v>3.4039593554973813</v>
      </c>
      <c r="E1729" s="15">
        <v>0</v>
      </c>
      <c r="F1729">
        <f t="shared" si="116"/>
        <v>36.511633116388545</v>
      </c>
      <c r="G1729">
        <f t="shared" si="114"/>
        <v>0</v>
      </c>
      <c r="H1729" t="e">
        <f t="shared" si="115"/>
        <v>#NUM!</v>
      </c>
    </row>
    <row r="1730" spans="1:8" x14ac:dyDescent="0.2">
      <c r="A1730" s="1">
        <v>42685</v>
      </c>
      <c r="B1730">
        <v>754.02002000000005</v>
      </c>
      <c r="C1730" s="2">
        <f t="shared" si="113"/>
        <v>-1.1199089937051623E-2</v>
      </c>
      <c r="D1730">
        <v>-0.61341726171130417</v>
      </c>
      <c r="E1730" s="15">
        <v>1</v>
      </c>
      <c r="F1730">
        <f t="shared" si="116"/>
        <v>3.1310060915623827</v>
      </c>
      <c r="G1730">
        <f t="shared" si="114"/>
        <v>0.31938615600105608</v>
      </c>
      <c r="H1730">
        <f t="shared" si="115"/>
        <v>-95.111345659257935</v>
      </c>
    </row>
    <row r="1731" spans="1:8" x14ac:dyDescent="0.2">
      <c r="A1731" s="1">
        <v>42688</v>
      </c>
      <c r="B1731">
        <v>736.080017</v>
      </c>
      <c r="C1731" s="2">
        <f t="shared" si="113"/>
        <v>-2.3792475695804529E-2</v>
      </c>
      <c r="D1731">
        <v>1.1245008147571283</v>
      </c>
      <c r="E1731" s="15">
        <v>0</v>
      </c>
      <c r="F1731">
        <f t="shared" si="116"/>
        <v>0.28445387208497752</v>
      </c>
      <c r="G1731">
        <f t="shared" si="114"/>
        <v>0</v>
      </c>
      <c r="H1731" t="e">
        <f t="shared" si="115"/>
        <v>#NUM!</v>
      </c>
    </row>
    <row r="1732" spans="1:8" x14ac:dyDescent="0.2">
      <c r="A1732" s="1">
        <v>42689</v>
      </c>
      <c r="B1732">
        <v>758.48999000000003</v>
      </c>
      <c r="C1732" s="2">
        <f t="shared" ref="C1732:C1763" si="117">(B1732-B1731)/B1731</f>
        <v>3.0445022935597553E-2</v>
      </c>
      <c r="D1732">
        <v>-2.279607188627542</v>
      </c>
      <c r="E1732" s="15">
        <v>0</v>
      </c>
      <c r="F1732">
        <f t="shared" si="116"/>
        <v>2.7338722129217986E-2</v>
      </c>
      <c r="G1732">
        <f t="shared" si="114"/>
        <v>0</v>
      </c>
      <c r="H1732" t="e">
        <f t="shared" si="115"/>
        <v>#NUM!</v>
      </c>
    </row>
    <row r="1733" spans="1:8" x14ac:dyDescent="0.2">
      <c r="A1733" s="1">
        <v>42690</v>
      </c>
      <c r="B1733">
        <v>764.47997999999995</v>
      </c>
      <c r="C1733" s="2">
        <f t="shared" si="117"/>
        <v>7.8972564951053873E-3</v>
      </c>
      <c r="D1733">
        <v>-0.74060599291348883</v>
      </c>
      <c r="E1733" s="15">
        <v>1</v>
      </c>
      <c r="F1733">
        <f t="shared" si="116"/>
        <v>5.3110645044503867E-3</v>
      </c>
      <c r="G1733">
        <f t="shared" si="114"/>
        <v>188.28617109847823</v>
      </c>
      <c r="H1733">
        <f t="shared" si="115"/>
        <v>-4.549636848623269</v>
      </c>
    </row>
    <row r="1734" spans="1:8" x14ac:dyDescent="0.2">
      <c r="A1734" s="1">
        <v>42691</v>
      </c>
      <c r="B1734">
        <v>771.22997999999995</v>
      </c>
      <c r="C1734" s="2">
        <f t="shared" si="117"/>
        <v>8.8295314155905046E-3</v>
      </c>
      <c r="D1734">
        <v>0.11805048007025333</v>
      </c>
      <c r="E1734" s="15">
        <v>0</v>
      </c>
      <c r="F1734">
        <f t="shared" si="116"/>
        <v>4602.9429682035534</v>
      </c>
      <c r="G1734">
        <f t="shared" si="114"/>
        <v>0</v>
      </c>
      <c r="H1734" t="e">
        <f t="shared" si="115"/>
        <v>#NUM!</v>
      </c>
    </row>
    <row r="1735" spans="1:8" x14ac:dyDescent="0.2">
      <c r="A1735" s="1">
        <v>42692</v>
      </c>
      <c r="B1735">
        <v>760.53997800000002</v>
      </c>
      <c r="C1735" s="2">
        <f t="shared" si="117"/>
        <v>-1.3860978277841243E-2</v>
      </c>
      <c r="D1735">
        <v>-2.5698430217221491</v>
      </c>
      <c r="E1735" s="15">
        <v>0</v>
      </c>
      <c r="F1735">
        <f t="shared" si="116"/>
        <v>394.34788317413836</v>
      </c>
      <c r="G1735">
        <f t="shared" si="114"/>
        <v>0</v>
      </c>
      <c r="H1735" t="e">
        <f t="shared" si="115"/>
        <v>#NUM!</v>
      </c>
    </row>
    <row r="1736" spans="1:8" x14ac:dyDescent="0.2">
      <c r="A1736" s="1">
        <v>42695</v>
      </c>
      <c r="B1736">
        <v>769.20001200000002</v>
      </c>
      <c r="C1736" s="2">
        <f t="shared" si="117"/>
        <v>1.1386691364697723E-2</v>
      </c>
      <c r="D1736">
        <v>-1.8214926202504031</v>
      </c>
      <c r="E1736" s="15">
        <v>0</v>
      </c>
      <c r="F1736">
        <f t="shared" si="116"/>
        <v>33.787676471970158</v>
      </c>
      <c r="G1736">
        <f t="shared" ref="G1736:G1763" si="118">E1736/F1736</f>
        <v>0</v>
      </c>
      <c r="H1736" t="e">
        <f t="shared" ref="H1736:H1763" si="119">-LOG(G1736^2)-(F1736^2)/(G1736^2)</f>
        <v>#NUM!</v>
      </c>
    </row>
    <row r="1737" spans="1:8" x14ac:dyDescent="0.2">
      <c r="A1737" s="1">
        <v>42696</v>
      </c>
      <c r="B1737">
        <v>768.27002000000005</v>
      </c>
      <c r="C1737" s="2">
        <f t="shared" si="117"/>
        <v>-1.2090379426566756E-3</v>
      </c>
      <c r="D1737">
        <v>-1.1061799168813049</v>
      </c>
      <c r="E1737" s="15">
        <v>1</v>
      </c>
      <c r="F1737">
        <f t="shared" ref="F1737:F1763" si="120" xml:space="preserve"> $K$5 + $K$6 * G1736 ^ 2 + $K$7 * F1736</f>
        <v>2.8976383403494212</v>
      </c>
      <c r="G1737">
        <f t="shared" si="118"/>
        <v>0.34510863073388642</v>
      </c>
      <c r="H1737">
        <f t="shared" si="119"/>
        <v>-69.573898856974807</v>
      </c>
    </row>
    <row r="1738" spans="1:8" x14ac:dyDescent="0.2">
      <c r="A1738" s="1">
        <v>42697</v>
      </c>
      <c r="B1738">
        <v>760.98999000000003</v>
      </c>
      <c r="C1738" s="2">
        <f t="shared" si="117"/>
        <v>-9.4758741204036701E-3</v>
      </c>
      <c r="D1738">
        <v>6.8375324595536586</v>
      </c>
      <c r="E1738" s="15">
        <v>0</v>
      </c>
      <c r="F1738">
        <f t="shared" si="120"/>
        <v>0.26667994200548567</v>
      </c>
      <c r="G1738">
        <f t="shared" si="118"/>
        <v>0</v>
      </c>
      <c r="H1738" t="e">
        <f t="shared" si="119"/>
        <v>#NUM!</v>
      </c>
    </row>
    <row r="1739" spans="1:8" x14ac:dyDescent="0.2">
      <c r="A1739" s="1">
        <v>42699</v>
      </c>
      <c r="B1739">
        <v>761.67999299999997</v>
      </c>
      <c r="C1739" s="2">
        <f t="shared" si="117"/>
        <v>9.0671757719169637E-4</v>
      </c>
      <c r="D1739">
        <v>-1.0956869588673968</v>
      </c>
      <c r="E1739" s="15">
        <v>1</v>
      </c>
      <c r="F1739">
        <f t="shared" si="120"/>
        <v>2.5815987873749294E-2</v>
      </c>
      <c r="G1739">
        <f t="shared" si="118"/>
        <v>38.735685997778113</v>
      </c>
      <c r="H1739">
        <f t="shared" si="119"/>
        <v>-3.1762229473765364</v>
      </c>
    </row>
    <row r="1740" spans="1:8" x14ac:dyDescent="0.2">
      <c r="A1740" s="1">
        <v>42702</v>
      </c>
      <c r="B1740">
        <v>768.23999000000003</v>
      </c>
      <c r="C1740" s="2">
        <f t="shared" si="117"/>
        <v>8.6125368399955684E-3</v>
      </c>
      <c r="D1740">
        <v>8.4985881564913388</v>
      </c>
      <c r="E1740" s="15">
        <v>0</v>
      </c>
      <c r="F1740">
        <f t="shared" si="120"/>
        <v>194.81952272179515</v>
      </c>
      <c r="G1740">
        <f t="shared" si="118"/>
        <v>0</v>
      </c>
      <c r="H1740" t="e">
        <f t="shared" si="119"/>
        <v>#NUM!</v>
      </c>
    </row>
    <row r="1741" spans="1:8" x14ac:dyDescent="0.2">
      <c r="A1741" s="1">
        <v>42703</v>
      </c>
      <c r="B1741">
        <v>770.84002699999996</v>
      </c>
      <c r="C1741" s="2">
        <f t="shared" si="117"/>
        <v>3.384407260548789E-3</v>
      </c>
      <c r="D1741">
        <v>-0.60703712234564666</v>
      </c>
      <c r="E1741" s="15">
        <v>0</v>
      </c>
      <c r="F1741">
        <f t="shared" si="120"/>
        <v>16.693614098626213</v>
      </c>
      <c r="G1741">
        <f t="shared" si="118"/>
        <v>0</v>
      </c>
      <c r="H1741" t="e">
        <f t="shared" si="119"/>
        <v>#NUM!</v>
      </c>
    </row>
    <row r="1742" spans="1:8" x14ac:dyDescent="0.2">
      <c r="A1742" s="1">
        <v>42704</v>
      </c>
      <c r="B1742">
        <v>758.03997800000002</v>
      </c>
      <c r="C1742" s="2">
        <f t="shared" si="117"/>
        <v>-1.6605324777718044E-2</v>
      </c>
      <c r="D1742">
        <v>-5.9064203860103568</v>
      </c>
      <c r="E1742" s="15">
        <v>0</v>
      </c>
      <c r="F1742">
        <f t="shared" si="120"/>
        <v>1.43314994500892</v>
      </c>
      <c r="G1742">
        <f t="shared" si="118"/>
        <v>0</v>
      </c>
      <c r="H1742" t="e">
        <f t="shared" si="119"/>
        <v>#NUM!</v>
      </c>
    </row>
    <row r="1743" spans="1:8" x14ac:dyDescent="0.2">
      <c r="A1743" s="1">
        <v>42705</v>
      </c>
      <c r="B1743">
        <v>747.919983</v>
      </c>
      <c r="C1743" s="2">
        <f t="shared" si="117"/>
        <v>-1.3350212777300271E-2</v>
      </c>
      <c r="D1743">
        <v>-0.1960282044459416</v>
      </c>
      <c r="E1743" s="15">
        <v>0</v>
      </c>
      <c r="F1743">
        <f t="shared" si="120"/>
        <v>0.12575020746424179</v>
      </c>
      <c r="G1743">
        <f t="shared" si="118"/>
        <v>0</v>
      </c>
      <c r="H1743" t="e">
        <f t="shared" si="119"/>
        <v>#NUM!</v>
      </c>
    </row>
    <row r="1744" spans="1:8" x14ac:dyDescent="0.2">
      <c r="A1744" s="1">
        <v>42706</v>
      </c>
      <c r="B1744">
        <v>750.5</v>
      </c>
      <c r="C1744" s="2">
        <f t="shared" si="117"/>
        <v>3.4495896066999428E-3</v>
      </c>
      <c r="D1744">
        <v>-1.2583921068707888</v>
      </c>
      <c r="E1744" s="15">
        <v>1</v>
      </c>
      <c r="F1744">
        <f t="shared" si="120"/>
        <v>1.3742207148817081E-2</v>
      </c>
      <c r="G1744">
        <f t="shared" si="118"/>
        <v>72.768514487578457</v>
      </c>
      <c r="H1744">
        <f t="shared" si="119"/>
        <v>-3.7238870541218616</v>
      </c>
    </row>
    <row r="1745" spans="1:8" x14ac:dyDescent="0.2">
      <c r="A1745" s="1">
        <v>42709</v>
      </c>
      <c r="B1745">
        <v>762.52002000000005</v>
      </c>
      <c r="C1745" s="2">
        <f t="shared" si="117"/>
        <v>1.60160159893405E-2</v>
      </c>
      <c r="D1745">
        <v>3.6428757665066875</v>
      </c>
      <c r="E1745" s="15">
        <v>0</v>
      </c>
      <c r="F1745">
        <f t="shared" si="120"/>
        <v>687.52431265274879</v>
      </c>
      <c r="G1745">
        <f t="shared" si="118"/>
        <v>0</v>
      </c>
      <c r="H1745" t="e">
        <f t="shared" si="119"/>
        <v>#NUM!</v>
      </c>
    </row>
    <row r="1746" spans="1:8" x14ac:dyDescent="0.2">
      <c r="A1746" s="1">
        <v>42710</v>
      </c>
      <c r="B1746">
        <v>759.10998500000005</v>
      </c>
      <c r="C1746" s="2">
        <f t="shared" si="117"/>
        <v>-4.472059631955622E-3</v>
      </c>
      <c r="D1746">
        <v>-1.2792242237352918</v>
      </c>
      <c r="E1746" s="15">
        <v>0</v>
      </c>
      <c r="F1746">
        <f t="shared" si="120"/>
        <v>58.904788448132763</v>
      </c>
      <c r="G1746">
        <f t="shared" si="118"/>
        <v>0</v>
      </c>
      <c r="H1746" t="e">
        <f t="shared" si="119"/>
        <v>#NUM!</v>
      </c>
    </row>
    <row r="1747" spans="1:8" x14ac:dyDescent="0.2">
      <c r="A1747" s="1">
        <v>42711</v>
      </c>
      <c r="B1747">
        <v>771.19000200000005</v>
      </c>
      <c r="C1747" s="2">
        <f t="shared" si="117"/>
        <v>1.5913394947637261E-2</v>
      </c>
      <c r="D1747">
        <v>-4.5584040145453892</v>
      </c>
      <c r="E1747" s="15">
        <v>0</v>
      </c>
      <c r="F1747">
        <f t="shared" si="120"/>
        <v>5.0494802027564329</v>
      </c>
      <c r="G1747">
        <f t="shared" si="118"/>
        <v>0</v>
      </c>
      <c r="H1747" t="e">
        <f t="shared" si="119"/>
        <v>#NUM!</v>
      </c>
    </row>
    <row r="1748" spans="1:8" x14ac:dyDescent="0.2">
      <c r="A1748" s="1">
        <v>42712</v>
      </c>
      <c r="B1748">
        <v>776.419983</v>
      </c>
      <c r="C1748" s="2">
        <f t="shared" si="117"/>
        <v>6.7817022866434309E-3</v>
      </c>
      <c r="D1748">
        <v>-0.57383686454345539</v>
      </c>
      <c r="E1748" s="15">
        <v>1</v>
      </c>
      <c r="F1748">
        <f t="shared" si="120"/>
        <v>0.43556969802890255</v>
      </c>
      <c r="G1748">
        <f t="shared" si="118"/>
        <v>2.295843821379981</v>
      </c>
      <c r="H1748">
        <f t="shared" si="119"/>
        <v>-0.75787872560481062</v>
      </c>
    </row>
    <row r="1749" spans="1:8" x14ac:dyDescent="0.2">
      <c r="A1749" s="1">
        <v>42713</v>
      </c>
      <c r="B1749">
        <v>789.28997800000002</v>
      </c>
      <c r="C1749" s="2">
        <f t="shared" si="117"/>
        <v>1.6576073879850176E-2</v>
      </c>
      <c r="D1749">
        <v>1.4442349692195673</v>
      </c>
      <c r="E1749" s="15">
        <v>0</v>
      </c>
      <c r="F1749">
        <f t="shared" si="120"/>
        <v>0.72464278599079945</v>
      </c>
      <c r="G1749">
        <f t="shared" si="118"/>
        <v>0</v>
      </c>
      <c r="H1749" t="e">
        <f t="shared" si="119"/>
        <v>#NUM!</v>
      </c>
    </row>
    <row r="1750" spans="1:8" x14ac:dyDescent="0.2">
      <c r="A1750" s="1">
        <v>42716</v>
      </c>
      <c r="B1750">
        <v>789.27002000000005</v>
      </c>
      <c r="C1750" s="2">
        <f t="shared" si="117"/>
        <v>-2.5286017251284753E-5</v>
      </c>
      <c r="D1750">
        <v>-1.0015254527359474</v>
      </c>
      <c r="E1750" s="15">
        <v>0</v>
      </c>
      <c r="F1750">
        <f t="shared" si="120"/>
        <v>6.5050738272195721E-2</v>
      </c>
      <c r="G1750">
        <f t="shared" si="118"/>
        <v>0</v>
      </c>
      <c r="H1750" t="e">
        <f t="shared" si="119"/>
        <v>#NUM!</v>
      </c>
    </row>
    <row r="1751" spans="1:8" x14ac:dyDescent="0.2">
      <c r="A1751" s="1">
        <v>42717</v>
      </c>
      <c r="B1751">
        <v>796.09997599999997</v>
      </c>
      <c r="C1751" s="2">
        <f t="shared" si="117"/>
        <v>8.6535099863541305E-3</v>
      </c>
      <c r="D1751">
        <v>-343.2251080649902</v>
      </c>
      <c r="E1751" s="15">
        <v>0</v>
      </c>
      <c r="F1751">
        <f t="shared" si="120"/>
        <v>8.5419413317402524E-3</v>
      </c>
      <c r="G1751">
        <f t="shared" si="118"/>
        <v>0</v>
      </c>
      <c r="H1751" t="e">
        <f t="shared" si="119"/>
        <v>#NUM!</v>
      </c>
    </row>
    <row r="1752" spans="1:8" x14ac:dyDescent="0.2">
      <c r="A1752" s="1">
        <v>42718</v>
      </c>
      <c r="B1752">
        <v>797.07000700000003</v>
      </c>
      <c r="C1752" s="2">
        <f t="shared" si="117"/>
        <v>1.2184788710508172E-3</v>
      </c>
      <c r="D1752">
        <v>-0.85919252731293339</v>
      </c>
      <c r="E1752" s="15">
        <v>0</v>
      </c>
      <c r="F1752">
        <f t="shared" si="120"/>
        <v>3.7007002302102696E-3</v>
      </c>
      <c r="G1752">
        <f t="shared" si="118"/>
        <v>0</v>
      </c>
      <c r="H1752" t="e">
        <f t="shared" si="119"/>
        <v>#NUM!</v>
      </c>
    </row>
    <row r="1753" spans="1:8" x14ac:dyDescent="0.2">
      <c r="A1753" s="1">
        <v>42719</v>
      </c>
      <c r="B1753">
        <v>797.84997599999997</v>
      </c>
      <c r="C1753" s="2">
        <f t="shared" si="117"/>
        <v>9.7854516309749595E-4</v>
      </c>
      <c r="D1753">
        <v>-0.19691248954231128</v>
      </c>
      <c r="E1753" s="15">
        <v>0</v>
      </c>
      <c r="F1753">
        <f t="shared" si="120"/>
        <v>3.2859397562288476E-3</v>
      </c>
      <c r="G1753">
        <f t="shared" si="118"/>
        <v>0</v>
      </c>
      <c r="H1753" t="e">
        <f t="shared" si="119"/>
        <v>#NUM!</v>
      </c>
    </row>
    <row r="1754" spans="1:8" x14ac:dyDescent="0.2">
      <c r="A1754" s="1">
        <v>42720</v>
      </c>
      <c r="B1754">
        <v>790.79998799999998</v>
      </c>
      <c r="C1754" s="2">
        <f t="shared" si="117"/>
        <v>-8.8362326403077871E-3</v>
      </c>
      <c r="D1754">
        <v>-10.029969155779682</v>
      </c>
      <c r="E1754" s="15">
        <v>0</v>
      </c>
      <c r="F1754">
        <f t="shared" si="120"/>
        <v>3.2504062541434159E-3</v>
      </c>
      <c r="G1754">
        <f t="shared" si="118"/>
        <v>0</v>
      </c>
      <c r="H1754" t="e">
        <f t="shared" si="119"/>
        <v>#NUM!</v>
      </c>
    </row>
    <row r="1755" spans="1:8" x14ac:dyDescent="0.2">
      <c r="A1755" s="1">
        <v>42723</v>
      </c>
      <c r="B1755">
        <v>794.20001200000002</v>
      </c>
      <c r="C1755" s="2">
        <f t="shared" si="117"/>
        <v>4.2994740156723802E-3</v>
      </c>
      <c r="D1755">
        <v>-1.4865732027085492</v>
      </c>
      <c r="E1755" s="15">
        <v>0</v>
      </c>
      <c r="F1755">
        <f t="shared" si="120"/>
        <v>3.2473620157222978E-3</v>
      </c>
      <c r="G1755">
        <f t="shared" si="118"/>
        <v>0</v>
      </c>
      <c r="H1755" t="e">
        <f t="shared" si="119"/>
        <v>#NUM!</v>
      </c>
    </row>
    <row r="1756" spans="1:8" x14ac:dyDescent="0.2">
      <c r="A1756" s="1">
        <v>42724</v>
      </c>
      <c r="B1756">
        <v>796.419983</v>
      </c>
      <c r="C1756" s="2">
        <f t="shared" si="117"/>
        <v>2.7952291191856425E-3</v>
      </c>
      <c r="D1756">
        <v>-0.34986719096417052</v>
      </c>
      <c r="E1756" s="15">
        <v>0</v>
      </c>
      <c r="F1756">
        <f t="shared" si="120"/>
        <v>3.2471012086804723E-3</v>
      </c>
      <c r="G1756">
        <f t="shared" si="118"/>
        <v>0</v>
      </c>
      <c r="H1756" t="e">
        <f t="shared" si="119"/>
        <v>#NUM!</v>
      </c>
    </row>
    <row r="1757" spans="1:8" x14ac:dyDescent="0.2">
      <c r="A1757" s="1">
        <v>42725</v>
      </c>
      <c r="B1757">
        <v>794.55999799999995</v>
      </c>
      <c r="C1757" s="2">
        <f t="shared" si="117"/>
        <v>-2.3354323594364803E-3</v>
      </c>
      <c r="D1757">
        <v>-1.8355065935048935</v>
      </c>
      <c r="E1757" s="15">
        <v>1</v>
      </c>
      <c r="F1757">
        <f t="shared" si="120"/>
        <v>3.2470788647298164E-3</v>
      </c>
      <c r="G1757">
        <f t="shared" si="118"/>
        <v>307.96911367387077</v>
      </c>
      <c r="H1757">
        <f t="shared" si="119"/>
        <v>-4.9770143264002558</v>
      </c>
    </row>
    <row r="1758" spans="1:8" x14ac:dyDescent="0.2">
      <c r="A1758" s="1">
        <v>42726</v>
      </c>
      <c r="B1758">
        <v>791.26000999999997</v>
      </c>
      <c r="C1758" s="2">
        <f t="shared" si="117"/>
        <v>-4.1532269536679912E-3</v>
      </c>
      <c r="D1758">
        <v>0.77835463180364994</v>
      </c>
      <c r="E1758" s="15">
        <v>0</v>
      </c>
      <c r="F1758">
        <f t="shared" si="120"/>
        <v>12314.388869334905</v>
      </c>
      <c r="G1758">
        <f t="shared" si="118"/>
        <v>0</v>
      </c>
      <c r="H1758" t="e">
        <f t="shared" si="119"/>
        <v>#NUM!</v>
      </c>
    </row>
    <row r="1759" spans="1:8" x14ac:dyDescent="0.2">
      <c r="A1759" s="1">
        <v>42727</v>
      </c>
      <c r="B1759">
        <v>789.90997300000004</v>
      </c>
      <c r="C1759" s="2">
        <f t="shared" si="117"/>
        <v>-1.7061863141547232E-3</v>
      </c>
      <c r="D1759">
        <v>-0.58919020482425688</v>
      </c>
      <c r="E1759" s="15">
        <v>0</v>
      </c>
      <c r="F1759">
        <f t="shared" si="120"/>
        <v>1055.0055306572474</v>
      </c>
      <c r="G1759">
        <f t="shared" si="118"/>
        <v>0</v>
      </c>
      <c r="H1759" t="e">
        <f t="shared" si="119"/>
        <v>#NUM!</v>
      </c>
    </row>
    <row r="1760" spans="1:8" x14ac:dyDescent="0.2">
      <c r="A1760" s="1">
        <v>42731</v>
      </c>
      <c r="B1760">
        <v>791.54998799999998</v>
      </c>
      <c r="C1760" s="2">
        <f t="shared" si="117"/>
        <v>2.0762049550676434E-3</v>
      </c>
      <c r="D1760">
        <v>-2.2168688365644491</v>
      </c>
      <c r="E1760" s="15">
        <v>0</v>
      </c>
      <c r="F1760">
        <f t="shared" si="120"/>
        <v>90.387765842224482</v>
      </c>
      <c r="G1760">
        <f t="shared" si="118"/>
        <v>0</v>
      </c>
      <c r="H1760" t="e">
        <f t="shared" si="119"/>
        <v>#NUM!</v>
      </c>
    </row>
    <row r="1761" spans="1:8" x14ac:dyDescent="0.2">
      <c r="A1761" s="1">
        <v>42732</v>
      </c>
      <c r="B1761">
        <v>785.04998799999998</v>
      </c>
      <c r="C1761" s="2">
        <f t="shared" si="117"/>
        <v>-8.2117365909176159E-3</v>
      </c>
      <c r="D1761">
        <v>-4.9551666471435016</v>
      </c>
      <c r="E1761" s="15">
        <v>0</v>
      </c>
      <c r="F1761">
        <f t="shared" si="120"/>
        <v>7.7467006783475316</v>
      </c>
      <c r="G1761">
        <f t="shared" si="118"/>
        <v>0</v>
      </c>
      <c r="H1761" t="e">
        <f t="shared" si="119"/>
        <v>#NUM!</v>
      </c>
    </row>
    <row r="1762" spans="1:8" x14ac:dyDescent="0.2">
      <c r="A1762" s="1">
        <v>42733</v>
      </c>
      <c r="B1762">
        <v>782.78997800000002</v>
      </c>
      <c r="C1762" s="2">
        <f t="shared" si="117"/>
        <v>-2.878810310866428E-3</v>
      </c>
      <c r="D1762">
        <v>-0.64942734353529274</v>
      </c>
      <c r="E1762" s="15">
        <v>1</v>
      </c>
      <c r="F1762">
        <f t="shared" si="120"/>
        <v>0.66664689898363627</v>
      </c>
      <c r="G1762">
        <f t="shared" si="118"/>
        <v>1.5000444786056768</v>
      </c>
      <c r="H1762">
        <f t="shared" si="119"/>
        <v>-0.54971571035465505</v>
      </c>
    </row>
    <row r="1763" spans="1:8" x14ac:dyDescent="0.2">
      <c r="A1763" s="1">
        <v>42734</v>
      </c>
      <c r="B1763">
        <v>771.82000700000003</v>
      </c>
      <c r="C1763" s="2">
        <f t="shared" si="117"/>
        <v>-1.4013938998079491E-2</v>
      </c>
      <c r="D1763">
        <v>3.8679619303787169</v>
      </c>
      <c r="E1763" s="15">
        <v>0</v>
      </c>
      <c r="F1763">
        <f t="shared" si="120"/>
        <v>0.35223263677374489</v>
      </c>
      <c r="G1763">
        <f t="shared" si="118"/>
        <v>0</v>
      </c>
      <c r="H1763" t="e">
        <f t="shared" si="119"/>
        <v>#NUM!</v>
      </c>
    </row>
    <row r="1764" spans="1:8" x14ac:dyDescent="0.2">
      <c r="A1764" t="s">
        <v>0</v>
      </c>
      <c r="D1764" s="2">
        <v>-1</v>
      </c>
    </row>
  </sheetData>
  <phoneticPr fontId="5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Stephan, Samuel</dc:creator>
  <cp:lastModifiedBy>Youri Semaan</cp:lastModifiedBy>
  <dcterms:created xsi:type="dcterms:W3CDTF">2020-10-30T13:31:26Z</dcterms:created>
  <dcterms:modified xsi:type="dcterms:W3CDTF">2020-12-27T22:48:58Z</dcterms:modified>
</cp:coreProperties>
</file>